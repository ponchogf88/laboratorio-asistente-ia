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c76ea3c21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db03fe12ba4ad9"/>
    <x:sheet xmlns:r="http://schemas.openxmlformats.org/officeDocument/2006/relationships" name="Data &amp; Targets" sheetId="2" r:id="Rfddc35dee67c4fb0"/>
    <x:sheet xmlns:r="http://schemas.openxmlformats.org/officeDocument/2006/relationships" name="_Chart Helpers" sheetId="3" r:id="R8d524c786742435f"/>
    <x:sheet xmlns:r="http://schemas.openxmlformats.org/officeDocument/2006/relationships" name="Listings observados" sheetId="4" r:id="Rc12bf123d3dd4fce"/>
    <x:sheet xmlns:r="http://schemas.openxmlformats.org/officeDocument/2006/relationships" name="Necesidades" sheetId="5" r:id="Rf9bc33ec20e0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$0.00"/>
    <x:numFmt numFmtId="201" formatCode="0"/>
    <x:numFmt numFmtId="202" formatCode="0.0"/>
    <x:numFmt numFmtId="203" formatCode="yyyy-mm-dd"/>
    <x:numFmt numFmtId="204" formatCode="@"/>
  </x:numFmts>
  <x:fonts count="23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1"/>
      <x:color rgb="FF14212B"/>
      <x:name val="Arial"/>
    </x:font>
    <x:font>
      <x:b/>
      <x:sz val="9"/>
      <x:color rgb="FF9ED8F6"/>
      <x:name val="Arial"/>
    </x:font>
    <x:font>
      <x:b/>
      <x:sz val="18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3293D"/>
      </x:patternFill>
    </x:fill>
    <x:fill>
      <x:patternFill patternType="solid">
        <x:fgColor rgb="FF19354C"/>
      </x:patternFill>
    </x:fill>
  </x:fills>
  <x:borders count="23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</x:borders>
  <x:cellStyleXfs count="1">
    <x:xf numFmtId="0" fontId="0" fillId="0" borderId="0"/>
  </x:cellStyleXfs>
  <x:cellXfs count="271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20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0" borderId="15" xfId="0" applyNumberFormat="1" applyFont="1" applyFill="1" applyBorder="1"/>
    <x:xf numFmtId="0" fontId="20" fillId="0" borderId="16" xfId="0" applyNumberFormat="1" applyFont="1" applyFill="1" applyBorder="1"/>
    <x:xf numFmtId="0" fontId="20" fillId="0" borderId="17" xfId="0" applyNumberFormat="1" applyFont="1" applyFill="1" applyBorder="1"/>
    <x:xf numFmtId="0" fontId="20" fillId="0" borderId="18" xfId="0" applyNumberFormat="1" applyFont="1" applyFill="1" applyBorder="1"/>
    <x:xf numFmtId="0" fontId="20" fillId="0" borderId="19" xfId="0" applyNumberFormat="1" applyFont="1" applyFill="1" applyBorder="1"/>
    <x:xf numFmtId="0" fontId="20" fillId="0" borderId="20" xfId="0" applyNumberFormat="1" applyFont="1" applyFill="1" applyBorder="1"/>
    <x:xf numFmtId="0" fontId="20" fillId="0" borderId="21" xfId="0" applyNumberFormat="1" applyFont="1" applyFill="1" applyBorder="1"/>
    <x:xf numFmtId="0" fontId="20" fillId="0" borderId="22" xfId="0" applyNumberFormat="1" applyFont="1" applyFill="1" applyBorder="1"/>
    <x:xf numFmtId="200" fontId="20" fillId="0" borderId="15" xfId="0" applyNumberFormat="1" applyFont="1" applyFill="1" applyBorder="1"/>
    <x:xf numFmtId="200" fontId="20" fillId="0" borderId="18" xfId="0" applyNumberFormat="1" applyFont="1" applyFill="1" applyBorder="1"/>
    <x:xf numFmtId="200" fontId="20" fillId="0" borderId="21" xfId="0" applyNumberFormat="1" applyFont="1" applyFill="1" applyBorder="1"/>
    <x:xf numFmtId="201" fontId="20" fillId="0" borderId="15" xfId="0" applyNumberFormat="1" applyFont="1" applyFill="1" applyBorder="1"/>
    <x:xf numFmtId="201" fontId="20" fillId="0" borderId="18" xfId="0" applyNumberFormat="1" applyFont="1" applyFill="1" applyBorder="1"/>
    <x:xf numFmtId="201" fontId="20" fillId="0" borderId="21" xfId="0" applyNumberFormat="1" applyFont="1" applyFill="1" applyBorder="1"/>
    <x:xf numFmtId="202" fontId="20" fillId="0" borderId="15" xfId="0" applyNumberFormat="1" applyFont="1" applyFill="1" applyBorder="1"/>
    <x:xf numFmtId="202" fontId="20" fillId="0" borderId="18" xfId="0" applyNumberFormat="1" applyFont="1" applyFill="1" applyBorder="1"/>
    <x:xf numFmtId="202" fontId="20" fillId="0" borderId="21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center"/>
    </x:xf>
    <x:xf numFmtId="200" fontId="3" fillId="7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horizontal="center" vertical="center" wrapText="1"/>
    </x:xf>
    <x:xf numFmtId="200" fontId="18" fillId="5" borderId="2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 applyAlignment="1">
      <x:alignment vertical="center"/>
    </x:xf>
    <x:xf numFmtId="164" fontId="18" fillId="13" borderId="2" xfId="0" applyNumberFormat="1" applyFont="1" applyFill="1" applyBorder="1" applyAlignment="1">
      <x:alignment horizontal="right" vertical="center"/>
    </x:xf>
    <x:xf numFmtId="165" fontId="18" fillId="13" borderId="2" xfId="0" applyNumberFormat="1" applyFont="1" applyFill="1" applyBorder="1" applyAlignment="1">
      <x:alignment horizontal="right" vertical="center"/>
    </x:xf>
    <x:xf numFmtId="166" fontId="18" fillId="13" borderId="2" xfId="0" applyNumberFormat="1" applyFont="1" applyFill="1" applyBorder="1" applyAlignment="1">
      <x:alignment horizontal="right" vertical="center"/>
    </x:xf>
    <x:xf numFmtId="164" fontId="5" fillId="13" borderId="2" xfId="0" applyNumberFormat="1" applyFont="1" applyFill="1" applyBorder="1" applyAlignment="1">
      <x:alignment horizontal="right" vertical="center"/>
    </x:xf>
    <x:xf numFmtId="165" fontId="5" fillId="13" borderId="2" xfId="0" applyNumberFormat="1" applyFont="1" applyFill="1" applyBorder="1" applyAlignment="1">
      <x:alignment horizontal="right" vertical="center"/>
    </x:xf>
    <x:xf numFmtId="166" fontId="5" fillId="13" borderId="2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164" fontId="18" fillId="5" borderId="2" xfId="0" applyNumberFormat="1" applyFont="1" applyFill="1" applyBorder="1" applyAlignment="1">
      <x:alignment horizontal="left" vertical="center" wrapText="1"/>
    </x:xf>
    <x:xf numFmtId="164" fontId="17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200" fontId="3" fillId="7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164" fontId="18" fillId="5" borderId="2" xfId="0" applyNumberFormat="1" applyFont="1" applyFill="1" applyBorder="1" applyAlignment="1">
      <x:alignment horizontal="right" vertical="center" wrapText="1"/>
    </x:xf>
    <x:xf numFmtId="165" fontId="18" fillId="5" borderId="2" xfId="0" applyNumberFormat="1" applyFont="1" applyFill="1" applyBorder="1" applyAlignment="1">
      <x:alignment horizontal="right" vertical="center" wrapText="1"/>
    </x:xf>
    <x:xf numFmtId="200" fontId="18" fillId="5" borderId="2" xfId="0" applyNumberFormat="1" applyFont="1" applyFill="1" applyBorder="1" applyAlignment="1">
      <x:alignment horizontal="right" vertical="center" wrapText="1"/>
    </x:xf>
    <x:xf numFmtId="167" fontId="18" fillId="5" borderId="2" xfId="0" applyNumberFormat="1" applyFont="1" applyFill="1" applyBorder="1" applyAlignment="1">
      <x:alignment horizontal="right" vertical="center" wrapText="1"/>
    </x:xf>
    <x:xf numFmtId="168" fontId="18" fillId="5" borderId="2" xfId="0" applyNumberFormat="1" applyFont="1" applyFill="1" applyBorder="1" applyAlignment="1">
      <x:alignment horizontal="right" vertical="center" wrapText="1"/>
    </x:xf>
    <x:xf numFmtId="166" fontId="18" fillId="5" borderId="2" xfId="0" applyNumberFormat="1" applyFont="1" applyFill="1" applyBorder="1" applyAlignment="1">
      <x:alignment horizontal="right" vertical="center" wrapText="1"/>
    </x:xf>
    <x:xf numFmtId="164" fontId="5" fillId="13" borderId="2" xfId="0" applyNumberFormat="1" applyFont="1" applyFill="1" applyBorder="1" applyAlignment="1">
      <x:alignment horizontal="right" vertical="center" wrapText="1"/>
    </x:xf>
    <x:xf numFmtId="165" fontId="5" fillId="13" borderId="2" xfId="0" applyNumberFormat="1" applyFont="1" applyFill="1" applyBorder="1" applyAlignment="1">
      <x:alignment horizontal="right" vertical="center" wrapText="1"/>
    </x:xf>
    <x:xf numFmtId="166" fontId="5" fillId="13" borderId="2" xfId="0" applyNumberFormat="1" applyFont="1" applyFill="1" applyBorder="1" applyAlignment="1">
      <x:alignment horizontal="righ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169" fontId="18" fillId="5" borderId="2" xfId="0" applyNumberFormat="1" applyFont="1" applyFill="1" applyBorder="1" applyAlignment="1">
      <x:alignment horizontal="right" vertical="center" wrapText="1"/>
    </x:xf>
    <x:xf numFmtId="0" fontId="17" fillId="4" borderId="1" xfId="0" applyNumberFormat="1" applyFont="1" applyFill="1" applyBorder="1" applyAlignment="1">
      <x:alignment horizontal="left" vertical="center" wrapText="1"/>
    </x:xf>
    <x:xf numFmtId="0" fontId="10" fillId="13" borderId="6" xfId="0" applyNumberFormat="1" applyFont="1" applyFill="1" applyBorder="1" applyAlignment="1">
      <x:alignment horizontal="left" vertical="center"/>
    </x:xf>
    <x:xf numFmtId="0" fontId="10" fillId="13" borderId="7" xfId="0" applyNumberFormat="1" applyFont="1" applyFill="1" applyBorder="1" applyAlignment="1">
      <x:alignment horizontal="left" vertical="center"/>
    </x:xf>
    <x:xf numFmtId="0" fontId="10" fillId="13" borderId="8" xfId="0" applyNumberFormat="1" applyFont="1" applyFill="1" applyBorder="1" applyAlignment="1">
      <x:alignment horizontal="left" vertical="center"/>
    </x:xf>
    <x:xf numFmtId="0" fontId="21" fillId="13" borderId="6" xfId="0" applyNumberFormat="1" applyFont="1" applyFill="1" applyBorder="1" applyAlignment="1">
      <x:alignment horizontal="left" vertical="center"/>
    </x:xf>
    <x:xf numFmtId="0" fontId="21" fillId="13" borderId="7" xfId="0" applyNumberFormat="1" applyFont="1" applyFill="1" applyBorder="1" applyAlignment="1">
      <x:alignment horizontal="left" vertical="center"/>
    </x:xf>
    <x:xf numFmtId="0" fontId="21" fillId="13" borderId="8" xfId="0" applyNumberFormat="1" applyFont="1" applyFill="1" applyBorder="1" applyAlignment="1">
      <x:alignment horizontal="left" vertical="center"/>
    </x:xf>
    <x:xf numFmtId="165" fontId="11" fillId="14" borderId="9" xfId="0" applyNumberFormat="1" applyFont="1" applyFill="1" applyBorder="1" applyAlignment="1">
      <x:alignment horizontal="left" vertical="center"/>
    </x:xf>
    <x:xf numFmtId="165" fontId="11" fillId="14" borderId="0" xfId="0" applyNumberFormat="1" applyFont="1" applyFill="1" applyBorder="1" applyAlignment="1">
      <x:alignment horizontal="left" vertical="center"/>
    </x:xf>
    <x:xf numFmtId="165" fontId="11" fillId="14" borderId="10" xfId="0" applyNumberFormat="1" applyFont="1" applyFill="1" applyBorder="1" applyAlignment="1">
      <x:alignment horizontal="left" vertical="center"/>
    </x:xf>
    <x:xf numFmtId="171" fontId="12" fillId="14" borderId="11" xfId="0" applyNumberFormat="1" applyFont="1" applyFill="1" applyBorder="1" applyAlignment="1">
      <x:alignment horizontal="right" vertical="center"/>
    </x:xf>
    <x:xf numFmtId="0" fontId="13" fillId="14" borderId="12" xfId="0" applyNumberFormat="1" applyFont="1" applyFill="1" applyBorder="1" applyAlignment="1">
      <x:alignment horizontal="left" vertical="center"/>
    </x:xf>
    <x:xf numFmtId="171" fontId="5" fillId="14" borderId="12" xfId="0" applyNumberFormat="1" applyFont="1" applyFill="1" applyBorder="1" applyAlignment="1">
      <x:alignment horizontal="right" vertical="center"/>
    </x:xf>
    <x:xf numFmtId="0" fontId="13" fillId="14" borderId="13" xfId="0" applyNumberFormat="1" applyFont="1" applyFill="1" applyBorder="1" applyAlignment="1">
      <x:alignment horizontal="left" vertical="center"/>
    </x:xf>
    <x:xf numFmtId="165" fontId="22" fillId="14" borderId="9" xfId="0" applyNumberFormat="1" applyFont="1" applyFill="1" applyBorder="1" applyAlignment="1">
      <x:alignment horizontal="left" vertical="center"/>
    </x:xf>
    <x:xf numFmtId="165" fontId="22" fillId="14" borderId="0" xfId="0" applyNumberFormat="1" applyFont="1" applyFill="1" applyBorder="1" applyAlignment="1">
      <x:alignment horizontal="left" vertical="center"/>
    </x:xf>
    <x:xf numFmtId="165" fontId="22" fillId="14" borderId="10" xfId="0" applyNumberFormat="1" applyFont="1" applyFill="1" applyBorder="1" applyAlignment="1">
      <x:alignment horizontal="left" vertical="center"/>
    </x:xf>
    <x:xf numFmtId="171" fontId="22" fillId="14" borderId="11" xfId="0" applyNumberFormat="1" applyFont="1" applyFill="1" applyBorder="1" applyAlignment="1">
      <x:alignment horizontal="right" vertical="center"/>
    </x:xf>
    <x:xf numFmtId="0" fontId="22" fillId="14" borderId="12" xfId="0" applyNumberFormat="1" applyFont="1" applyFill="1" applyBorder="1" applyAlignment="1">
      <x:alignment horizontal="left" vertical="center"/>
    </x:xf>
    <x:xf numFmtId="171" fontId="22" fillId="14" borderId="12" xfId="0" applyNumberFormat="1" applyFont="1" applyFill="1" applyBorder="1" applyAlignment="1">
      <x:alignment horizontal="right" vertical="center"/>
    </x:xf>
    <x:xf numFmtId="0" fontId="22" fillId="14" borderId="13" xfId="0" applyNumberFormat="1" applyFont="1" applyFill="1" applyBorder="1" applyAlignment="1">
      <x:alignment horizontal="left" vertical="center"/>
    </x:xf>
    <x:xf numFmtId="166" fontId="11" fillId="14" borderId="9" xfId="0" applyNumberFormat="1" applyFont="1" applyFill="1" applyBorder="1" applyAlignment="1">
      <x:alignment horizontal="left" vertical="center"/>
    </x:xf>
    <x:xf numFmtId="166" fontId="11" fillId="14" borderId="0" xfId="0" applyNumberFormat="1" applyFont="1" applyFill="1" applyBorder="1" applyAlignment="1">
      <x:alignment horizontal="left" vertical="center"/>
    </x:xf>
    <x:xf numFmtId="166" fontId="11" fillId="14" borderId="10" xfId="0" applyNumberFormat="1" applyFont="1" applyFill="1" applyBorder="1" applyAlignment="1">
      <x:alignment horizontal="left" vertical="center"/>
    </x:xf>
    <x:xf numFmtId="166" fontId="22" fillId="14" borderId="9" xfId="0" applyNumberFormat="1" applyFont="1" applyFill="1" applyBorder="1" applyAlignment="1">
      <x:alignment horizontal="left" vertical="center"/>
    </x:xf>
    <x:xf numFmtId="166" fontId="22" fillId="14" borderId="0" xfId="0" applyNumberFormat="1" applyFont="1" applyFill="1" applyBorder="1" applyAlignment="1">
      <x:alignment horizontal="left" vertical="center"/>
    </x:xf>
    <x:xf numFmtId="166" fontId="22" fillId="14" borderId="10" xfId="0" applyNumberFormat="1" applyFont="1" applyFill="1" applyBorder="1" applyAlignment="1">
      <x:alignment horizontal="left" vertical="center"/>
    </x:xf>
    <x:xf numFmtId="201" fontId="22" fillId="14" borderId="9" xfId="0" applyNumberFormat="1" applyFont="1" applyFill="1" applyBorder="1" applyAlignment="1">
      <x:alignment horizontal="left" vertical="center"/>
    </x:xf>
    <x:xf numFmtId="204" fontId="22" fillId="14" borderId="9" xfId="0" applyNumberFormat="1" applyFont="1" applyFill="1" applyBorder="1" applyAlignment="1">
      <x:alignment horizontal="left" vertical="center"/>
    </x:xf>
    <x:xf numFmtId="0" fontId="6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horizontal="left" vertical="center" wrapText="1"/>
    </x:xf>
    <x:xf numFmtId="0" fontId="7" fillId="9" borderId="4" xfId="0" applyNumberFormat="1" applyFont="1" applyFill="1" applyBorder="1" applyAlignment="1">
      <x:alignment horizontal="left" vertical="center" wrapText="1"/>
    </x:xf>
    <x:xf numFmtId="0" fontId="7" fillId="9" borderId="5" xfId="0" applyNumberFormat="1" applyFont="1" applyFill="1" applyBorder="1" applyAlignment="1">
      <x:alignment horizontal="left" vertical="center" wrapText="1"/>
    </x:xf>
    <x:xf numFmtId="164" fontId="8" fillId="9" borderId="3" xfId="0" applyNumberFormat="1" applyFont="1" applyFill="1" applyBorder="1" applyAlignment="1">
      <x:alignment horizontal="left" vertical="center" wrapText="1"/>
    </x:xf>
    <x:xf numFmtId="164" fontId="8" fillId="9" borderId="4" xfId="0" applyNumberFormat="1" applyFont="1" applyFill="1" applyBorder="1" applyAlignment="1">
      <x:alignment horizontal="left" vertical="center" wrapText="1"/>
    </x:xf>
    <x:xf numFmtId="164" fontId="8" fillId="9" borderId="5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21" fillId="13" borderId="6" xfId="0" applyNumberFormat="1" applyFont="1" applyFill="1" applyBorder="1" applyAlignment="1">
      <x:alignment horizontal="left" vertical="center" wrapText="1"/>
    </x:xf>
    <x:xf numFmtId="0" fontId="21" fillId="13" borderId="7" xfId="0" applyNumberFormat="1" applyFont="1" applyFill="1" applyBorder="1" applyAlignment="1">
      <x:alignment horizontal="left" vertical="center" wrapText="1"/>
    </x:xf>
    <x:xf numFmtId="0" fontId="21" fillId="13" borderId="8" xfId="0" applyNumberFormat="1" applyFont="1" applyFill="1" applyBorder="1" applyAlignment="1">
      <x:alignment horizontal="left" vertical="center" wrapText="1"/>
    </x:xf>
    <x:xf numFmtId="201" fontId="22" fillId="14" borderId="9" xfId="0" applyNumberFormat="1" applyFont="1" applyFill="1" applyBorder="1" applyAlignment="1">
      <x:alignment horizontal="left" vertical="center" wrapText="1"/>
    </x:xf>
    <x:xf numFmtId="165" fontId="22" fillId="14" borderId="0" xfId="0" applyNumberFormat="1" applyFont="1" applyFill="1" applyBorder="1" applyAlignment="1">
      <x:alignment horizontal="left" vertical="center" wrapText="1"/>
    </x:xf>
    <x:xf numFmtId="165" fontId="22" fillId="14" borderId="10" xfId="0" applyNumberFormat="1" applyFont="1" applyFill="1" applyBorder="1" applyAlignment="1">
      <x:alignment horizontal="left" vertical="center" wrapText="1"/>
    </x:xf>
    <x:xf numFmtId="166" fontId="22" fillId="14" borderId="0" xfId="0" applyNumberFormat="1" applyFont="1" applyFill="1" applyBorder="1" applyAlignment="1">
      <x:alignment horizontal="left" vertical="center" wrapText="1"/>
    </x:xf>
    <x:xf numFmtId="166" fontId="22" fillId="14" borderId="10" xfId="0" applyNumberFormat="1" applyFont="1" applyFill="1" applyBorder="1" applyAlignment="1">
      <x:alignment horizontal="left" vertical="center" wrapText="1"/>
    </x:xf>
    <x:xf numFmtId="204" fontId="22" fillId="14" borderId="9" xfId="0" applyNumberFormat="1" applyFont="1" applyFill="1" applyBorder="1" applyAlignment="1">
      <x:alignment horizontal="left" vertical="center" wrapText="1"/>
    </x:xf>
    <x:xf numFmtId="165" fontId="22" fillId="14" borderId="9" xfId="0" applyNumberFormat="1" applyFont="1" applyFill="1" applyBorder="1" applyAlignment="1">
      <x:alignment horizontal="left" vertical="center" wrapText="1"/>
    </x:xf>
    <x:xf numFmtId="166" fontId="22" fillId="14" borderId="9" xfId="0" applyNumberFormat="1" applyFont="1" applyFill="1" applyBorder="1" applyAlignment="1">
      <x:alignment horizontal="left" vertical="center" wrapText="1"/>
    </x:xf>
    <x:xf numFmtId="171" fontId="22" fillId="14" borderId="11" xfId="0" applyNumberFormat="1" applyFont="1" applyFill="1" applyBorder="1" applyAlignment="1">
      <x:alignment horizontal="right" vertical="center" wrapText="1"/>
    </x:xf>
    <x:xf numFmtId="0" fontId="22" fillId="14" borderId="12" xfId="0" applyNumberFormat="1" applyFont="1" applyFill="1" applyBorder="1" applyAlignment="1">
      <x:alignment horizontal="left" vertical="center" wrapText="1"/>
    </x:xf>
    <x:xf numFmtId="171" fontId="22" fillId="14" borderId="12" xfId="0" applyNumberFormat="1" applyFont="1" applyFill="1" applyBorder="1" applyAlignment="1">
      <x:alignment horizontal="right" vertical="center" wrapText="1"/>
    </x:xf>
    <x:xf numFmtId="0" fontId="22" fillId="14" borderId="13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horizontal="left" vertical="center" wrapText="1"/>
    </x:xf>
    <x:xf numFmtId="0" fontId="10" fillId="10" borderId="7" xfId="0" applyNumberFormat="1" applyFont="1" applyFill="1" applyBorder="1" applyAlignment="1">
      <x:alignment horizontal="left" vertical="center" wrapText="1"/>
    </x:xf>
    <x:xf numFmtId="0" fontId="10" fillId="10" borderId="8" xfId="0" applyNumberFormat="1" applyFont="1" applyFill="1" applyBorder="1" applyAlignment="1">
      <x:alignment horizontal="left" vertical="center" wrapText="1"/>
    </x:xf>
    <x:xf numFmtId="167" fontId="11" fillId="10" borderId="9" xfId="0" applyNumberFormat="1" applyFont="1" applyFill="1" applyBorder="1" applyAlignment="1">
      <x:alignment horizontal="left" vertical="center" wrapText="1"/>
    </x:xf>
    <x:xf numFmtId="167" fontId="11" fillId="10" borderId="0" xfId="0" applyNumberFormat="1" applyFont="1" applyFill="1" applyBorder="1" applyAlignment="1">
      <x:alignment horizontal="left" vertical="center" wrapText="1"/>
    </x:xf>
    <x:xf numFmtId="167" fontId="11" fillId="10" borderId="10" xfId="0" applyNumberFormat="1" applyFont="1" applyFill="1" applyBorder="1" applyAlignment="1">
      <x:alignment horizontal="left" vertical="center" wrapText="1"/>
    </x:xf>
    <x:xf numFmtId="168" fontId="11" fillId="10" borderId="9" xfId="0" applyNumberFormat="1" applyFont="1" applyFill="1" applyBorder="1" applyAlignment="1">
      <x:alignment horizontal="left" vertical="center" wrapText="1"/>
    </x:xf>
    <x:xf numFmtId="168" fontId="11" fillId="10" borderId="0" xfId="0" applyNumberFormat="1" applyFont="1" applyFill="1" applyBorder="1" applyAlignment="1">
      <x:alignment horizontal="left" vertical="center" wrapText="1"/>
    </x:xf>
    <x:xf numFmtId="168" fontId="11" fillId="10" borderId="10" xfId="0" applyNumberFormat="1" applyFont="1" applyFill="1" applyBorder="1" applyAlignment="1">
      <x:alignment horizontal="left" vertical="center" wrapText="1"/>
    </x:xf>
    <x:xf numFmtId="166" fontId="11" fillId="10" borderId="9" xfId="0" applyNumberFormat="1" applyFont="1" applyFill="1" applyBorder="1" applyAlignment="1">
      <x:alignment horizontal="left" vertical="center" wrapText="1"/>
    </x:xf>
    <x:xf numFmtId="166" fontId="11" fillId="10" borderId="0" xfId="0" applyNumberFormat="1" applyFont="1" applyFill="1" applyBorder="1" applyAlignment="1">
      <x:alignment horizontal="left" vertical="center" wrapText="1"/>
    </x:xf>
    <x:xf numFmtId="166" fontId="11" fillId="10" borderId="10" xfId="0" applyNumberFormat="1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 wrapText="1"/>
    </x:xf>
    <x:xf numFmtId="170" fontId="11" fillId="10" borderId="0" xfId="0" applyNumberFormat="1" applyFont="1" applyFill="1" applyBorder="1" applyAlignment="1">
      <x:alignment horizontal="left" vertical="center" wrapText="1"/>
    </x:xf>
    <x:xf numFmtId="170" fontId="11" fillId="10" borderId="10" xfId="0" applyNumberFormat="1" applyFont="1" applyFill="1" applyBorder="1" applyAlignment="1">
      <x:alignment horizontal="left" vertical="center" wrapText="1"/>
    </x:xf>
    <x:xf numFmtId="171" fontId="12" fillId="10" borderId="11" xfId="0" applyNumberFormat="1" applyFont="1" applyFill="1" applyBorder="1" applyAlignment="1">
      <x:alignment horizontal="right" vertical="center" wrapText="1"/>
    </x:xf>
    <x:xf numFmtId="0" fontId="13" fillId="10" borderId="12" xfId="0" applyNumberFormat="1" applyFont="1" applyFill="1" applyBorder="1" applyAlignment="1">
      <x:alignment horizontal="left" vertical="center" wrapText="1"/>
    </x:xf>
    <x:xf numFmtId="171" fontId="5" fillId="10" borderId="12" xfId="0" applyNumberFormat="1" applyFont="1" applyFill="1" applyBorder="1" applyAlignment="1">
      <x:alignment horizontal="right" vertical="center" wrapText="1"/>
    </x:xf>
    <x:xf numFmtId="0" fontId="13" fillId="10" borderId="13" xfId="0" applyNumberFormat="1" applyFont="1" applyFill="1" applyBorder="1" applyAlignment="1">
      <x:alignment horizontal="left" vertical="center" wrapText="1"/>
    </x:xf>
    <x:xf numFmtId="0" fontId="3" fillId="9" borderId="0" xfId="0" applyNumberFormat="1" applyFont="1" applyFill="1" applyBorder="1" applyAlignment="1">
      <x:alignment horizontal="left"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left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165" fontId="6" fillId="10" borderId="1" xfId="0" applyNumberFormat="1" applyFont="1" applyFill="1" applyBorder="1" applyAlignment="1">
      <x:alignment horizontal="right" vertical="center" wrapText="1"/>
    </x:xf>
    <x:xf numFmtId="166" fontId="6" fillId="10" borderId="1" xfId="0" applyNumberFormat="1" applyFont="1" applyFill="1" applyBorder="1" applyAlignment="1">
      <x:alignment horizontal="right" vertical="center" wrapText="1"/>
    </x:xf>
    <x:xf numFmtId="0" fontId="14" fillId="10" borderId="6" xfId="0" applyNumberFormat="1" applyFont="1" applyFill="1" applyBorder="1" applyAlignment="1">
      <x:alignment horizontal="left" vertical="center" wrapText="1"/>
    </x:xf>
    <x:xf numFmtId="0" fontId="14" fillId="10" borderId="7" xfId="0" applyNumberFormat="1" applyFont="1" applyFill="1" applyBorder="1" applyAlignment="1">
      <x:alignment horizontal="left" vertical="center" wrapText="1"/>
    </x:xf>
    <x:xf numFmtId="0" fontId="14" fillId="10" borderId="8" xfId="0" applyNumberFormat="1" applyFont="1" applyFill="1" applyBorder="1" applyAlignment="1">
      <x:alignment horizontal="left" vertical="center" wrapText="1"/>
    </x:xf>
    <x:xf numFmtId="0" fontId="14" fillId="10" borderId="9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4" fillId="10" borderId="10" xfId="0" applyNumberFormat="1" applyFont="1" applyFill="1" applyBorder="1" applyAlignment="1">
      <x:alignment horizontal="left" vertical="center" wrapText="1"/>
    </x:xf>
    <x:xf numFmtId="0" fontId="14" fillId="10" borderId="11" xfId="0" applyNumberFormat="1" applyFont="1" applyFill="1" applyBorder="1" applyAlignment="1">
      <x:alignment horizontal="left" vertical="center" wrapText="1"/>
    </x:xf>
    <x:xf numFmtId="0" fontId="14" fillId="10" borderId="12" xfId="0" applyNumberFormat="1" applyFont="1" applyFill="1" applyBorder="1" applyAlignment="1">
      <x:alignment horizontal="left" vertical="center" wrapText="1"/>
    </x:xf>
    <x:xf numFmtId="0" fontId="14" fillId="10" borderId="13" xfId="0" applyNumberFormat="1" applyFont="1" applyFill="1" applyBorder="1" applyAlignment="1">
      <x:alignment horizontal="left" vertical="center" wrapText="1"/>
    </x:xf>
    <x:xf numFmtId="167" fontId="6" fillId="10" borderId="1" xfId="0" applyNumberFormat="1" applyFont="1" applyFill="1" applyBorder="1" applyAlignment="1">
      <x:alignment horizontal="right" vertical="center" wrapText="1"/>
    </x:xf>
    <x:xf numFmtId="168" fontId="6" fillId="10" borderId="1" xfId="0" applyNumberFormat="1" applyFont="1" applyFill="1" applyBorder="1" applyAlignment="1">
      <x:alignment horizontal="right" vertical="center" wrapText="1"/>
    </x:xf>
    <x:xf numFmtId="0" fontId="15" fillId="9" borderId="6" xfId="0" applyNumberFormat="1" applyFont="1" applyFill="1" applyBorder="1" applyAlignment="1">
      <x:alignment horizontal="left" vertical="center" wrapText="1"/>
    </x:xf>
    <x:xf numFmtId="0" fontId="15" fillId="9" borderId="7" xfId="0" applyNumberFormat="1" applyFont="1" applyFill="1" applyBorder="1" applyAlignment="1">
      <x:alignment horizontal="left" vertical="center" wrapText="1"/>
    </x:xf>
    <x:xf numFmtId="0" fontId="15" fillId="9" borderId="8" xfId="0" applyNumberFormat="1" applyFont="1" applyFill="1" applyBorder="1" applyAlignment="1">
      <x:alignment horizontal="left" vertical="center" wrapText="1"/>
    </x:xf>
    <x:xf numFmtId="0" fontId="15" fillId="9" borderId="9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horizontal="left" vertical="center" wrapText="1"/>
    </x:xf>
    <x:xf numFmtId="0" fontId="15" fillId="9" borderId="10" xfId="0" applyNumberFormat="1" applyFont="1" applyFill="1" applyBorder="1" applyAlignment="1">
      <x:alignment horizontal="left" vertical="center" wrapText="1"/>
    </x:xf>
    <x:xf numFmtId="170" fontId="6" fillId="10" borderId="1" xfId="0" applyNumberFormat="1" applyFont="1" applyFill="1" applyBorder="1" applyAlignment="1">
      <x:alignment horizontal="right" vertical="center" wrapText="1"/>
    </x:xf>
    <x:xf numFmtId="0" fontId="15" fillId="9" borderId="11" xfId="0" applyNumberFormat="1" applyFont="1" applyFill="1" applyBorder="1" applyAlignment="1">
      <x:alignment horizontal="left" vertical="center" wrapText="1"/>
    </x:xf>
    <x:xf numFmtId="0" fontId="15" fillId="9" borderId="12" xfId="0" applyNumberFormat="1" applyFont="1" applyFill="1" applyBorder="1" applyAlignment="1">
      <x:alignment horizontal="left"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a3775b54643ce" /><Relationship Type="http://schemas.openxmlformats.org/officeDocument/2006/relationships/theme" Target="/xl/theme/theme1.xml" Id="R893a1d2da56f4e75" /><Relationship Type="http://schemas.openxmlformats.org/officeDocument/2006/relationships/sharedStrings" Target="/xl/sharedStrings.xml" Id="R2e1e5b5eb1724fef" /><Relationship Type="http://schemas.openxmlformats.org/officeDocument/2006/relationships/worksheet" Target="/xl/worksheets/sheet1.xml" Id="Ra4db03fe12ba4ad9" /><Relationship Type="http://schemas.openxmlformats.org/officeDocument/2006/relationships/worksheet" Target="/xl/worksheets/sheet2.xml" Id="Rfddc35dee67c4fb0" /><Relationship Type="http://schemas.openxmlformats.org/officeDocument/2006/relationships/worksheet" Target="/xl/worksheets/sheet3.xml" Id="R8d524c786742435f" /><Relationship Type="http://schemas.openxmlformats.org/officeDocument/2006/relationships/worksheet" Target="/xl/worksheets/sheet4.xml" Id="Rc12bf123d3dd4fce" /><Relationship Type="http://schemas.openxmlformats.org/officeDocument/2006/relationships/worksheet" Target="/xl/worksheets/sheet5.xml" Id="Rf9bc33ec20e049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a1fc9f6f7c4d85" /><Relationship Type="http://schemas.openxmlformats.org/officeDocument/2006/relationships/chart" Target="/xl/drawings/charts/chart2.xml" Id="Rf0cca2b39fef42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Precio medio por familia (USD)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USD</c:v>
          </c:tx>
          <c:cat>
            <c:strLit>
              <c:ptCount val="6"/>
              <c:pt idx="0">
                <c:v>Calendario/planificador</c:v>
              </c:pt>
              <c:pt idx="1">
                <c:v>Hooks/copys</c:v>
              </c:pt>
              <c:pt idx="2">
                <c:v>Pilares/estrategia</c:v>
              </c:pt>
              <c:pt idx="3">
                <c:v>Auditoría/analytics</c:v>
              </c:pt>
              <c:pt idx="4">
                <c:v>Reto/plan guiado</c:v>
              </c:pt>
              <c:pt idx="5">
                <c:v>Repurposing</c:v>
              </c:pt>
            </c:strLit>
          </c:cat>
          <c:val>
            <c:numLit>
              <c:formatCode>General</c:formatCode>
              <c:ptCount val="6"/>
              <c:pt idx="0">
                <c:v>13.245</c:v>
              </c:pt>
              <c:pt idx="1">
                <c:v>6.457142857142857</c:v>
              </c:pt>
              <c:pt idx="2">
                <c:v>10.592857142857143</c:v>
              </c:pt>
              <c:pt idx="3">
                <c:v>14.1475</c:v>
              </c:pt>
              <c:pt idx="4">
                <c:v>7.303333333333334</c:v>
              </c:pt>
              <c:pt idx="5">
                <c:v>14.483333333333334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Problemas que más se repiten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Fuerza</c:v>
          </c:tx>
          <c:cat>
            <c:strLit>
              <c:ptCount val="8"/>
              <c:pt idx="0">
                <c:v>Decidir qué publicar</c:v>
              </c:pt>
              <c:pt idx="1">
                <c:v>Ser constante sin agotarse</c:v>
              </c:pt>
              <c:pt idx="2">
                <c:v>Centralizar ideas, activos y estado</c:v>
              </c:pt>
              <c:pt idx="3">
                <c:v>Reutilizar una idea entre canales</c:v>
              </c:pt>
              <c:pt idx="4">
                <c:v>Empezar sin curva de aprendizaje</c:v>
              </c:pt>
              <c:pt idx="5">
                <c:v>Aprobar/publicar a tiempo</c:v>
              </c:pt>
              <c:pt idx="6">
                <c:v>Medir y ajustar semanalmente</c:v>
              </c:pt>
              <c:pt idx="7">
                <c:v>Evitar fallos de acceso/formato</c:v>
              </c:pt>
            </c:strLit>
          </c:cat>
          <c:val>
            <c:numLit>
              <c:formatCode>General</c:formatCode>
              <c:ptCount val="8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4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12</xdr:row>
      <xdr:rowOff>0</xdr:rowOff>
    </xdr:from>
    <xdr:ext cx="581025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a1fc9f6f7c4d85"/>
        </a:graphicData>
      </a:graphic>
    </xdr:graphicFrame>
    <xdr:clientData/>
  </xdr:oneCellAnchor>
  <xdr:oneCellAnchor>
    <xdr:from>
      <xdr:col>9</xdr:col>
      <xdr:colOff>0</xdr:colOff>
      <xdr:row>12</xdr:row>
      <xdr:rowOff>0</xdr:rowOff>
    </xdr:from>
    <xdr:ext cx="581025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cca2b39fef42b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Listings" displayName="Listings" ref="A1:G36" headerRowCount="1" totalsRowCount="0" totalsRowShown="0">
  <x:tableColumns count="7">
    <x:tableColumn id="1" name="Familia"/>
    <x:tableColumn id="2" name="Marketplace"/>
    <x:tableColumn id="3" name="Precio USD"/>
    <x:tableColumn id="4" name="Reseñas visibles"/>
    <x:tableColumn id="5" name="Rating"/>
    <x:tableColumn id="6" name="Producto"/>
    <x:tableColumn id="7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" displayName="Needs" ref="A1:D9" headerRowCount="1" totalsRowCount="0" totalsRowShown="0">
  <x:tableColumns count="4">
    <x:tableColumn id="1" name="Necesidad concreta"/>
    <x:tableColumn id="2" name="Fuerza (1-5)"/>
    <x:tableColumn id="3" name="Qué evidencia indica"/>
    <x:tableColumn id="4" name="Respuesta de produc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6ce41071ed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9e34ec6f34a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224c8104d3c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142" t="str">
        <x:v>Demanda real: productos digitales de contenido social</x:v>
      </x:c>
      <x:c r="C2" s="142"/>
      <x:c r="D2" s="142"/>
      <x:c r="E2" s="142"/>
      <x:c r="F2" s="142"/>
      <x:c r="G2" s="142"/>
      <x:c r="H2" s="142"/>
      <x:c r="I2" s="142"/>
      <x:c r="J2" s="201"/>
      <x:c r="K2" s="202"/>
      <x:c r="L2" s="202"/>
      <x:c r="M2" s="203"/>
      <x:c r="N2" s="201"/>
      <x:c r="O2" s="202"/>
      <x:c r="P2" s="202"/>
      <x:c r="Q2" s="203"/>
    </x:row>
    <x:row r="3" ht="24" customHeight="1">
      <x:c r="B3" s="143" t="str">
        <x:v>Qué duele, cuánto pagan y qué conviene construir primero</x:v>
      </x:c>
      <x:c r="C3" s="143"/>
      <x:c r="D3" s="143"/>
      <x:c r="E3" s="143"/>
      <x:c r="F3" s="143"/>
      <x:c r="G3" s="143"/>
      <x:c r="H3" s="143"/>
      <x:c r="I3" s="143"/>
      <x:c r="J3" s="204"/>
      <x:c r="K3" s="205"/>
      <x:c r="L3" s="205"/>
      <x:c r="M3" s="206"/>
      <x:c r="N3" s="204"/>
      <x:c r="O3" s="205"/>
      <x:c r="P3" s="205"/>
      <x:c r="Q3" s="206"/>
    </x:row>
    <x:row r="4" ht="20" customHeight="1">
      <x:c r="B4" s="207" t="str">
        <x:v>Corte 2026-07-19 · muestra observada de 35 listings · precios en USD (una conversión aproximada)</x:v>
      </x:c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207"/>
      <x:c r="O4" s="207"/>
      <x:c r="P4" s="207"/>
      <x:c r="Q4" s="207"/>
    </x:row>
    <x:row r="5" ht="20" customHeight="1">
      <x:c r="B5" s="208" t="str">
        <x:v>LISTINGS OBSERVADOS</x:v>
      </x:c>
      <x:c r="C5" s="209"/>
      <x:c r="D5" s="209"/>
      <x:c r="E5" s="210"/>
      <x:c r="F5" s="208" t="str">
        <x:v>RESEÑAS VISIBLES</x:v>
      </x:c>
      <x:c r="G5" s="209"/>
      <x:c r="H5" s="209"/>
      <x:c r="I5" s="210"/>
      <x:c r="J5" s="208" t="str">
        <x:v>FAMILIAS</x:v>
      </x:c>
      <x:c r="K5" s="209"/>
      <x:c r="L5" s="209"/>
      <x:c r="M5" s="210"/>
      <x:c r="N5" s="208" t="str">
        <x:v>DOLOR #1</x:v>
      </x:c>
      <x:c r="O5" s="209"/>
      <x:c r="P5" s="209"/>
      <x:c r="Q5" s="210"/>
    </x:row>
    <x:row r="6" ht="27" customHeight="1">
      <x:c r="B6" s="211" t="n">
        <x:v>35</x:v>
      </x:c>
      <x:c r="C6" s="212"/>
      <x:c r="D6" s="212"/>
      <x:c r="E6" s="213"/>
      <x:c r="F6" s="211" t="n">
        <x:v>4942</x:v>
      </x:c>
      <x:c r="G6" s="212"/>
      <x:c r="H6" s="212"/>
      <x:c r="I6" s="213"/>
      <x:c r="J6" s="211" t="n">
        <x:v>6</x:v>
      </x:c>
      <x:c r="K6" s="214"/>
      <x:c r="L6" s="214"/>
      <x:c r="M6" s="215"/>
      <x:c r="N6" s="216" t="str">
        <x:v>Decidir qué publicar</x:v>
      </x:c>
      <x:c r="O6" s="214"/>
      <x:c r="P6" s="214"/>
      <x:c r="Q6" s="215"/>
    </x:row>
    <x:row r="7" ht="27" customHeight="1">
      <x:c r="B7" s="217"/>
      <x:c r="C7" s="212"/>
      <x:c r="D7" s="212"/>
      <x:c r="E7" s="213"/>
      <x:c r="F7" s="217"/>
      <x:c r="G7" s="212"/>
      <x:c r="H7" s="212"/>
      <x:c r="I7" s="213"/>
      <x:c r="J7" s="218"/>
      <x:c r="K7" s="214"/>
      <x:c r="L7" s="214"/>
      <x:c r="M7" s="215"/>
      <x:c r="N7" s="218"/>
      <x:c r="O7" s="214"/>
      <x:c r="P7" s="214"/>
      <x:c r="Q7" s="215"/>
    </x:row>
    <x:row r="8" ht="20" customHeight="1">
      <x:c r="B8" s="219"/>
      <x:c r="C8" s="220"/>
      <x:c r="D8" s="221"/>
      <x:c r="E8" s="222"/>
      <x:c r="F8" s="219"/>
      <x:c r="G8" s="220"/>
      <x:c r="H8" s="221"/>
      <x:c r="I8" s="222"/>
      <x:c r="J8" s="219"/>
      <x:c r="K8" s="220"/>
      <x:c r="L8" s="221"/>
      <x:c r="M8" s="222"/>
      <x:c r="N8" s="219"/>
      <x:c r="O8" s="220"/>
      <x:c r="P8" s="221"/>
      <x:c r="Q8" s="222"/>
    </x:row>
    <x:row r="9">
      <x:c r="B9" s="223"/>
      <x:c r="C9" s="223"/>
      <x:c r="D9" s="223"/>
      <x:c r="E9" s="223"/>
      <x:c r="F9" s="223"/>
      <x:c r="G9" s="223"/>
      <x:c r="H9" s="223"/>
      <x:c r="I9" s="223"/>
      <x:c r="J9" s="223"/>
      <x:c r="K9" s="223"/>
      <x:c r="L9" s="223"/>
      <x:c r="M9" s="223"/>
      <x:c r="N9" s="223"/>
      <x:c r="O9" s="223"/>
      <x:c r="P9" s="223"/>
      <x:c r="Q9" s="223"/>
    </x:row>
    <x:row r="10" ht="20" customHeight="1">
      <x:c r="B10" s="224"/>
      <x:c r="C10" s="225"/>
      <x:c r="D10" s="225"/>
      <x:c r="E10" s="226"/>
      <x:c r="F10" s="224"/>
      <x:c r="G10" s="225"/>
      <x:c r="H10" s="225"/>
      <x:c r="I10" s="226"/>
      <x:c r="J10" s="224"/>
      <x:c r="K10" s="225"/>
      <x:c r="L10" s="225"/>
      <x:c r="M10" s="226"/>
      <x:c r="N10" s="224"/>
      <x:c r="O10" s="225"/>
      <x:c r="P10" s="225"/>
      <x:c r="Q10" s="226"/>
    </x:row>
    <x:row r="11" ht="27" customHeight="1">
      <x:c r="B11" s="227" t="str">
        <x:v>Precio medio observado por familia (USD)</x:v>
      </x:c>
      <x:c r="C11" s="228"/>
      <x:c r="D11" s="228"/>
      <x:c r="E11" s="229"/>
      <x:c r="F11" s="230"/>
      <x:c r="G11" s="231"/>
      <x:c r="H11" s="231"/>
      <x:c r="I11" s="232"/>
      <x:c r="J11" s="233" t="str">
        <x:v>Fuerza de necesidades detectadas (1–5)</x:v>
      </x:c>
      <x:c r="K11" s="234"/>
      <x:c r="L11" s="234"/>
      <x:c r="M11" s="235"/>
      <x:c r="N11" s="236"/>
      <x:c r="O11" s="237"/>
      <x:c r="P11" s="237"/>
      <x:c r="Q11" s="238"/>
    </x:row>
    <x:row r="12" ht="27" customHeight="1">
      <x:c r="B12" s="227"/>
      <x:c r="C12" s="228"/>
      <x:c r="D12" s="228"/>
      <x:c r="E12" s="229"/>
      <x:c r="F12" s="230"/>
      <x:c r="G12" s="231"/>
      <x:c r="H12" s="231"/>
      <x:c r="I12" s="232"/>
      <x:c r="J12" s="233"/>
      <x:c r="K12" s="234"/>
      <x:c r="L12" s="234"/>
      <x:c r="M12" s="235"/>
      <x:c r="N12" s="236"/>
      <x:c r="O12" s="237"/>
      <x:c r="P12" s="237"/>
      <x:c r="Q12" s="238"/>
    </x:row>
    <x:row r="13" ht="20" customHeight="1">
      <x:c r="B13" s="239"/>
      <x:c r="C13" s="240"/>
      <x:c r="D13" s="241"/>
      <x:c r="E13" s="242"/>
      <x:c r="F13" s="239"/>
      <x:c r="G13" s="240"/>
      <x:c r="H13" s="241"/>
      <x:c r="I13" s="242"/>
      <x:c r="J13" s="239"/>
      <x:c r="K13" s="240"/>
      <x:c r="L13" s="241"/>
      <x:c r="M13" s="242"/>
      <x:c r="N13" s="239"/>
      <x:c r="O13" s="240"/>
      <x:c r="P13" s="241"/>
      <x:c r="Q13" s="242"/>
    </x:row>
    <x:row r="14">
      <x:c r="B14" s="223"/>
      <x:c r="C14" s="223"/>
      <x:c r="D14" s="223"/>
      <x:c r="E14" s="223"/>
      <x:c r="F14" s="223"/>
      <x:c r="G14" s="223"/>
      <x:c r="H14" s="223"/>
      <x:c r="I14" s="223"/>
      <x:c r="J14" s="223"/>
      <x:c r="K14" s="223"/>
      <x:c r="L14" s="223"/>
      <x:c r="M14" s="223"/>
      <x:c r="N14" s="223"/>
      <x:c r="O14" s="223"/>
      <x:c r="P14" s="223"/>
      <x:c r="Q14" s="223"/>
    </x:row>
    <x:row r="15" ht="22" customHeight="1">
      <x:c r="B15" s="243"/>
      <x:c r="C15" s="243"/>
      <x:c r="D15" s="243"/>
      <x:c r="E15" s="243"/>
      <x:c r="F15" s="243"/>
      <x:c r="G15" s="243"/>
      <x:c r="H15" s="243"/>
      <x:c r="I15" s="243"/>
      <x:c r="J15" s="243"/>
      <x:c r="K15" s="243"/>
      <x:c r="L15" s="243"/>
      <x:c r="M15" s="243"/>
      <x:c r="N15" s="243"/>
      <x:c r="O15" s="243"/>
      <x:c r="P15" s="243"/>
      <x:c r="Q15" s="243"/>
    </x:row>
    <x:row r="16">
      <x:c r="B16" s="223"/>
      <x:c r="C16" s="223"/>
      <x:c r="D16" s="223"/>
      <x:c r="E16" s="223"/>
      <x:c r="F16" s="223"/>
      <x:c r="G16" s="223"/>
      <x:c r="H16" s="223"/>
      <x:c r="I16" s="223"/>
      <x:c r="J16" s="223"/>
      <x:c r="K16" s="223"/>
      <x:c r="L16" s="223"/>
      <x:c r="M16" s="223"/>
      <x:c r="N16" s="223"/>
      <x:c r="O16" s="223"/>
      <x:c r="P16" s="223"/>
      <x:c r="Q16" s="223"/>
    </x:row>
    <x:row r="17">
      <x:c r="B17" s="223"/>
      <x:c r="C17" s="223"/>
      <x:c r="D17" s="223"/>
      <x:c r="E17" s="223"/>
      <x:c r="F17" s="223"/>
      <x:c r="G17" s="223"/>
      <x:c r="H17" s="223"/>
      <x:c r="I17" s="223"/>
      <x:c r="J17" s="223"/>
      <x:c r="K17" s="223"/>
      <x:c r="L17" s="223"/>
      <x:c r="M17" s="223"/>
      <x:c r="N17" s="223"/>
      <x:c r="O17" s="223"/>
      <x:c r="P17" s="223"/>
      <x:c r="Q17" s="223"/>
    </x:row>
    <x:row r="18">
      <x:c r="B18" s="223"/>
      <x:c r="C18" s="223"/>
      <x:c r="D18" s="223"/>
      <x:c r="E18" s="223"/>
      <x:c r="F18" s="223"/>
      <x:c r="G18" s="223"/>
      <x:c r="H18" s="223"/>
      <x:c r="I18" s="223"/>
      <x:c r="J18" s="223"/>
      <x:c r="K18" s="223"/>
      <x:c r="L18" s="223"/>
      <x:c r="M18" s="223"/>
      <x:c r="N18" s="223"/>
      <x:c r="O18" s="223"/>
      <x:c r="P18" s="223"/>
      <x:c r="Q18" s="223"/>
    </x:row>
    <x:row r="19">
      <x:c r="B19" s="223"/>
      <x:c r="C19" s="223"/>
      <x:c r="D19" s="223"/>
      <x:c r="E19" s="223"/>
      <x:c r="F19" s="223"/>
      <x:c r="G19" s="223"/>
      <x:c r="H19" s="223"/>
      <x:c r="I19" s="223"/>
      <x:c r="J19" s="223"/>
      <x:c r="K19" s="223"/>
      <x:c r="L19" s="223"/>
      <x:c r="M19" s="223"/>
      <x:c r="N19" s="223"/>
      <x:c r="O19" s="223"/>
      <x:c r="P19" s="223"/>
      <x:c r="Q19" s="223"/>
    </x:row>
    <x:row r="20">
      <x:c r="B20" s="223"/>
      <x:c r="C20" s="223"/>
      <x:c r="D20" s="223"/>
      <x:c r="E20" s="223"/>
      <x:c r="F20" s="223"/>
      <x:c r="G20" s="223"/>
      <x:c r="H20" s="223"/>
      <x:c r="I20" s="223"/>
      <x:c r="J20" s="223"/>
      <x:c r="K20" s="223"/>
      <x:c r="L20" s="223"/>
      <x:c r="M20" s="223"/>
      <x:c r="N20" s="223"/>
      <x:c r="O20" s="223"/>
      <x:c r="P20" s="223"/>
      <x:c r="Q20" s="223"/>
    </x:row>
    <x:row r="21">
      <x:c r="B21" s="223"/>
      <x:c r="C21" s="223"/>
      <x:c r="D21" s="223"/>
      <x:c r="E21" s="223"/>
      <x:c r="F21" s="223"/>
      <x:c r="G21" s="223"/>
      <x:c r="H21" s="223"/>
      <x:c r="I21" s="223"/>
      <x:c r="J21" s="223"/>
      <x:c r="K21" s="223"/>
      <x:c r="L21" s="223"/>
      <x:c r="M21" s="223"/>
      <x:c r="N21" s="223"/>
      <x:c r="O21" s="223"/>
      <x:c r="P21" s="223"/>
      <x:c r="Q21" s="223"/>
    </x:row>
    <x:row r="22">
      <x:c r="B22" s="223"/>
      <x:c r="C22" s="223"/>
      <x:c r="D22" s="223"/>
      <x:c r="E22" s="223"/>
      <x:c r="F22" s="223"/>
      <x:c r="G22" s="223"/>
      <x:c r="H22" s="223"/>
      <x:c r="I22" s="223"/>
      <x:c r="J22" s="223"/>
      <x:c r="K22" s="223"/>
      <x:c r="L22" s="223"/>
      <x:c r="M22" s="223"/>
      <x:c r="N22" s="223"/>
      <x:c r="O22" s="223"/>
      <x:c r="P22" s="223"/>
      <x:c r="Q22" s="223"/>
    </x:row>
    <x:row r="23">
      <x:c r="B23" s="223"/>
      <x:c r="C23" s="223"/>
      <x:c r="D23" s="223"/>
      <x:c r="E23" s="223"/>
      <x:c r="F23" s="223"/>
      <x:c r="G23" s="223"/>
      <x:c r="H23" s="223"/>
      <x:c r="I23" s="223"/>
      <x:c r="J23" s="223"/>
      <x:c r="K23" s="223"/>
      <x:c r="L23" s="223"/>
      <x:c r="M23" s="223"/>
      <x:c r="N23" s="223"/>
      <x:c r="O23" s="223"/>
      <x:c r="P23" s="223"/>
      <x:c r="Q23" s="223"/>
    </x:row>
    <x:row r="24">
      <x:c r="B24" s="223"/>
      <x:c r="C24" s="223"/>
      <x:c r="D24" s="223"/>
      <x:c r="E24" s="223"/>
      <x:c r="F24" s="223"/>
      <x:c r="G24" s="223"/>
      <x:c r="H24" s="223"/>
      <x:c r="I24" s="223"/>
      <x:c r="J24" s="223"/>
      <x:c r="K24" s="223"/>
      <x:c r="L24" s="223"/>
      <x:c r="M24" s="223"/>
      <x:c r="N24" s="223"/>
      <x:c r="O24" s="223"/>
      <x:c r="P24" s="223"/>
      <x:c r="Q24" s="223"/>
    </x:row>
    <x:row r="25">
      <x:c r="B25" s="223"/>
      <x:c r="C25" s="223"/>
      <x:c r="D25" s="223"/>
      <x:c r="E25" s="223"/>
      <x:c r="F25" s="223"/>
      <x:c r="G25" s="223"/>
      <x:c r="H25" s="223"/>
      <x:c r="I25" s="223"/>
      <x:c r="J25" s="223"/>
      <x:c r="K25" s="223"/>
      <x:c r="L25" s="223"/>
      <x:c r="M25" s="223"/>
      <x:c r="N25" s="223"/>
      <x:c r="O25" s="223"/>
      <x:c r="P25" s="223"/>
      <x:c r="Q25" s="223"/>
    </x:row>
    <x:row r="26">
      <x:c r="B26" s="223"/>
      <x:c r="C26" s="223"/>
      <x:c r="D26" s="223"/>
      <x:c r="E26" s="223"/>
      <x:c r="F26" s="223"/>
      <x:c r="G26" s="223"/>
      <x:c r="H26" s="223"/>
      <x:c r="I26" s="223"/>
      <x:c r="J26" s="223"/>
      <x:c r="K26" s="223"/>
      <x:c r="L26" s="223"/>
      <x:c r="M26" s="223"/>
      <x:c r="N26" s="223"/>
      <x:c r="O26" s="223"/>
      <x:c r="P26" s="223"/>
      <x:c r="Q26" s="223"/>
    </x:row>
    <x:row r="27">
      <x:c r="B27" s="223"/>
      <x:c r="C27" s="223"/>
      <x:c r="D27" s="223"/>
      <x:c r="E27" s="223"/>
      <x:c r="F27" s="223"/>
      <x:c r="G27" s="223"/>
      <x:c r="H27" s="223"/>
      <x:c r="I27" s="223"/>
      <x:c r="J27" s="223"/>
      <x:c r="K27" s="223"/>
      <x:c r="L27" s="223"/>
      <x:c r="M27" s="223"/>
      <x:c r="N27" s="223"/>
      <x:c r="O27" s="223"/>
      <x:c r="P27" s="223"/>
      <x:c r="Q27" s="223"/>
    </x:row>
    <x:row r="28">
      <x:c r="B28" s="223"/>
      <x:c r="C28" s="223"/>
      <x:c r="D28" s="223"/>
      <x:c r="E28" s="223"/>
      <x:c r="F28" s="223"/>
      <x:c r="G28" s="223"/>
      <x:c r="H28" s="223"/>
      <x:c r="I28" s="223"/>
      <x:c r="J28" s="223"/>
      <x:c r="K28" s="223"/>
      <x:c r="L28" s="223"/>
      <x:c r="M28" s="223"/>
      <x:c r="N28" s="223"/>
      <x:c r="O28" s="223"/>
      <x:c r="P28" s="223"/>
      <x:c r="Q28" s="223"/>
    </x:row>
    <x:row r="29" ht="22" customHeight="1">
      <x:c r="B29" s="243"/>
      <x:c r="C29" s="243"/>
      <x:c r="D29" s="243"/>
      <x:c r="E29" s="243"/>
      <x:c r="F29" s="243"/>
      <x:c r="G29" s="243"/>
      <x:c r="H29" s="243"/>
      <x:c r="I29" s="243"/>
      <x:c r="J29" s="243"/>
      <x:c r="K29" s="243"/>
      <x:c r="L29" s="243"/>
      <x:c r="M29" s="243"/>
      <x:c r="N29" s="243"/>
      <x:c r="O29" s="243"/>
      <x:c r="P29" s="243"/>
      <x:c r="Q29" s="243"/>
    </x:row>
    <x:row r="30">
      <x:c r="B30" s="223"/>
      <x:c r="C30" s="223"/>
      <x:c r="D30" s="223"/>
      <x:c r="E30" s="223"/>
      <x:c r="F30" s="223"/>
      <x:c r="G30" s="223"/>
      <x:c r="H30" s="223"/>
      <x:c r="I30" s="223"/>
      <x:c r="J30" s="223"/>
      <x:c r="K30" s="223"/>
      <x:c r="L30" s="223"/>
      <x:c r="M30" s="223"/>
      <x:c r="N30" s="223"/>
      <x:c r="O30" s="223"/>
      <x:c r="P30" s="223"/>
      <x:c r="Q30" s="223"/>
    </x:row>
    <x:row r="31">
      <x:c r="B31" s="223" t="str">
        <x:v>DECISIÓN RECOMENDADA</x:v>
      </x:c>
      <x:c r="C31" s="223"/>
      <x:c r="D31" s="223"/>
      <x:c r="E31" s="223"/>
      <x:c r="F31" s="223"/>
      <x:c r="G31" s="223"/>
      <x:c r="H31" s="223"/>
      <x:c r="I31" s="223"/>
      <x:c r="J31" s="223"/>
      <x:c r="K31" s="223"/>
      <x:c r="L31" s="223"/>
      <x:c r="M31" s="223"/>
      <x:c r="N31" s="223"/>
      <x:c r="O31" s="223"/>
      <x:c r="P31" s="223"/>
      <x:c r="Q31" s="223"/>
    </x:row>
    <x:row r="32">
      <x:c r="B32" s="223"/>
      <x:c r="C32" s="223"/>
      <x:c r="D32" s="223"/>
      <x:c r="E32" s="223"/>
      <x:c r="F32" s="223"/>
      <x:c r="G32" s="223"/>
      <x:c r="H32" s="223"/>
      <x:c r="I32" s="223"/>
      <x:c r="J32" s="223"/>
      <x:c r="K32" s="223"/>
      <x:c r="L32" s="223"/>
      <x:c r="M32" s="223"/>
      <x:c r="N32" s="223"/>
      <x:c r="O32" s="223"/>
      <x:c r="P32" s="223"/>
      <x:c r="Q32" s="223"/>
    </x:row>
    <x:row r="33">
      <x:c r="B33" s="223" t="str">
        <x:v>Construir primero un sistema guiado “1 idea → 10 piezas” por $19–29. El comprador paga por reducir decisiones, ahorrar tiempo y obtener un primer resultado rápido; no por acumular más plantillas.</x:v>
      </x:c>
      <x:c r="C33" s="223"/>
      <x:c r="D33" s="223"/>
      <x:c r="E33" s="223"/>
      <x:c r="F33" s="223"/>
      <x:c r="G33" s="223"/>
      <x:c r="H33" s="223"/>
      <x:c r="I33" s="223"/>
      <x:c r="J33" s="223"/>
      <x:c r="K33" s="223"/>
      <x:c r="L33" s="223"/>
      <x:c r="M33" s="223"/>
      <x:c r="N33" s="223"/>
      <x:c r="O33" s="223"/>
      <x:c r="P33" s="223"/>
      <x:c r="Q33" s="223"/>
    </x:row>
    <x:row r="34">
      <x:c r="B34" s="223"/>
      <x:c r="C34" s="223"/>
      <x:c r="D34" s="223"/>
      <x:c r="E34" s="223"/>
      <x:c r="F34" s="223"/>
      <x:c r="G34" s="223"/>
      <x:c r="H34" s="223"/>
      <x:c r="I34" s="223"/>
      <x:c r="J34" s="223"/>
      <x:c r="K34" s="223"/>
      <x:c r="L34" s="223"/>
      <x:c r="M34" s="223"/>
      <x:c r="N34" s="223"/>
      <x:c r="O34" s="223"/>
      <x:c r="P34" s="223"/>
      <x:c r="Q34" s="223"/>
    </x:row>
    <x:row r="35">
      <x:c r="B35" s="223"/>
      <x:c r="C35" s="223"/>
      <x:c r="D35" s="223"/>
      <x:c r="E35" s="223"/>
      <x:c r="F35" s="223"/>
      <x:c r="G35" s="223"/>
      <x:c r="H35" s="223"/>
      <x:c r="I35" s="223"/>
      <x:c r="J35" s="223"/>
      <x:c r="K35" s="223"/>
      <x:c r="L35" s="223"/>
      <x:c r="M35" s="223"/>
      <x:c r="N35" s="223"/>
      <x:c r="O35" s="223"/>
      <x:c r="P35" s="223"/>
      <x:c r="Q35" s="223"/>
    </x:row>
    <x:row r="36">
      <x:c r="B36" s="223"/>
      <x:c r="C36" s="223"/>
      <x:c r="D36" s="223"/>
      <x:c r="E36" s="223"/>
      <x:c r="F36" s="223"/>
      <x:c r="G36" s="223"/>
      <x:c r="H36" s="223"/>
      <x:c r="I36" s="223"/>
      <x:c r="J36" s="223"/>
      <x:c r="K36" s="223"/>
      <x:c r="L36" s="223"/>
      <x:c r="M36" s="223"/>
      <x:c r="N36" s="223"/>
      <x:c r="O36" s="223"/>
      <x:c r="P36" s="223"/>
      <x:c r="Q36" s="223"/>
    </x:row>
    <x:row r="37">
      <x:c r="B37" s="223"/>
      <x:c r="C37" s="223"/>
      <x:c r="D37" s="223"/>
      <x:c r="E37" s="223"/>
      <x:c r="F37" s="223"/>
      <x:c r="G37" s="223"/>
      <x:c r="H37" s="223"/>
      <x:c r="I37" s="223"/>
      <x:c r="J37" s="223"/>
      <x:c r="K37" s="223"/>
      <x:c r="L37" s="223"/>
      <x:c r="M37" s="223"/>
      <x:c r="N37" s="223"/>
      <x:c r="O37" s="223"/>
      <x:c r="P37" s="223"/>
      <x:c r="Q37" s="223"/>
    </x:row>
    <x:row r="38">
      <x:c r="B38" s="244" t="str">
        <x:v>Prioridad</x:v>
      </x:c>
      <x:c r="C38" s="244" t="str">
        <x:v>Producto</x:v>
      </x:c>
      <x:c r="D38" s="244" t="str">
        <x:v>Precio</x:v>
      </x:c>
      <x:c r="E38" s="244" t="str">
        <x:v>Señal de demanda</x:v>
      </x:c>
      <x:c r="F38" s="244" t="str">
        <x:v>Riesgo</x:v>
      </x:c>
      <x:c r="G38" s="223"/>
      <x:c r="H38" s="223"/>
      <x:c r="I38" s="223"/>
      <x:c r="J38" s="223"/>
      <x:c r="K38" s="223"/>
      <x:c r="L38" s="223"/>
      <x:c r="M38" s="223"/>
      <x:c r="N38" s="223"/>
      <x:c r="O38" s="223"/>
      <x:c r="P38" s="223"/>
      <x:c r="Q38" s="223"/>
    </x:row>
    <x:row r="39">
      <x:c r="B39" s="223" t="str">
        <x:v>1</x:v>
      </x:c>
      <x:c r="C39" s="223" t="str">
        <x:v>1 idea → 10 piezas</x:v>
      </x:c>
      <x:c r="D39" s="223" t="str">
        <x:v>$19–29</x:v>
      </x:c>
      <x:c r="E39" s="223" t="str">
        <x:v>Dolor fuerte + oferta aún dispersa</x:v>
      </x:c>
      <x:c r="F39" s="223" t="str">
        <x:v>Promesas AI sin prueba</x:v>
      </x:c>
      <x:c r="G39" s="223"/>
      <x:c r="H39" s="223"/>
      <x:c r="I39" s="223"/>
      <x:c r="J39" s="223"/>
      <x:c r="K39" s="223"/>
      <x:c r="L39" s="223"/>
      <x:c r="M39" s="223"/>
      <x:c r="N39" s="223"/>
      <x:c r="O39" s="223"/>
      <x:c r="P39" s="223"/>
      <x:c r="Q39" s="223"/>
    </x:row>
    <x:row r="40">
      <x:c r="B40" s="223" t="str">
        <x:v>2</x:v>
      </x:c>
      <x:c r="C40" s="223" t="str">
        <x:v>Primeras 10 publicaciones nichadas</x:v>
      </x:c>
      <x:c r="D40" s="223" t="str">
        <x:v>$15–25</x:v>
      </x:c>
      <x:c r="E40" s="223" t="str">
        <x:v>Principiante quiere empezar rápido</x:v>
      </x:c>
      <x:c r="F40" s="223" t="str">
        <x:v>Elegir nicho incorrecto</x:v>
      </x:c>
      <x:c r="G40" s="223"/>
      <x:c r="H40" s="223"/>
      <x:c r="I40" s="223"/>
      <x:c r="J40" s="223"/>
      <x:c r="K40" s="223"/>
      <x:c r="L40" s="223"/>
      <x:c r="M40" s="223"/>
      <x:c r="N40" s="223"/>
      <x:c r="O40" s="223"/>
      <x:c r="P40" s="223"/>
      <x:c r="Q40" s="223"/>
    </x:row>
    <x:row r="41">
      <x:c r="B41" s="223" t="str">
        <x:v>3</x:v>
      </x:c>
      <x:c r="C41" s="223" t="str">
        <x:v>Auditoría + plan 7 días</x:v>
      </x:c>
      <x:c r="D41" s="223" t="str">
        <x:v>$19–29</x:v>
      </x:c>
      <x:c r="E41" s="223" t="str">
        <x:v>Ahorro profesional</x:v>
      </x:c>
      <x:c r="F41" s="223" t="str">
        <x:v>Requiere ejemplos sólidos</x:v>
      </x:c>
      <x:c r="G41" s="223"/>
      <x:c r="H41" s="223"/>
      <x:c r="I41" s="223"/>
      <x:c r="J41" s="223"/>
      <x:c r="K41" s="223"/>
      <x:c r="L41" s="223"/>
      <x:c r="M41" s="223"/>
      <x:c r="N41" s="223"/>
      <x:c r="O41" s="223"/>
      <x:c r="P41" s="223"/>
      <x:c r="Q41" s="223"/>
    </x:row>
    <x:row r="42">
      <x:c r="B42" s="223" t="str">
        <x:v>4</x:v>
      </x:c>
      <x:c r="C42" s="223" t="str">
        <x:v>Hooks nichados</x:v>
      </x:c>
      <x:c r="D42" s="223" t="str">
        <x:v>$7–12</x:v>
      </x:c>
      <x:c r="E42" s="223" t="str">
        <x:v>Muchas ventas/reseñas visibles</x:v>
      </x:c>
      <x:c r="F42" s="223" t="str">
        <x:v>Comoditizado</x:v>
      </x:c>
      <x:c r="G42" s="223"/>
      <x:c r="H42" s="223"/>
      <x:c r="I42" s="223"/>
      <x:c r="J42" s="223"/>
      <x:c r="K42" s="223"/>
      <x:c r="L42" s="223"/>
      <x:c r="M42" s="223"/>
      <x:c r="N42" s="223"/>
      <x:c r="O42" s="223"/>
      <x:c r="P42" s="223"/>
      <x:c r="Q42" s="223"/>
    </x:row>
    <x:row r="43" ht="22" customHeight="1">
      <x:c r="B43" s="243" t="str">
        <x:v>5</x:v>
      </x:c>
      <x:c r="C43" s="243" t="str">
        <x:v>Calendario genérico</x:v>
      </x:c>
      <x:c r="D43" s="243" t="str">
        <x:v>$5–10</x:v>
      </x:c>
      <x:c r="E43" s="243" t="str">
        <x:v>Compra existente</x:v>
      </x:c>
      <x:c r="F43" s="243" t="str">
        <x:v>Gratis y saturado</x:v>
      </x:c>
      <x:c r="G43" s="243"/>
      <x:c r="H43" s="243"/>
      <x:c r="I43" s="243"/>
      <x:c r="J43" s="243"/>
      <x:c r="K43" s="243"/>
      <x:c r="L43" s="243"/>
      <x:c r="M43" s="243"/>
      <x:c r="N43" s="243"/>
      <x:c r="O43" s="243"/>
      <x:c r="P43" s="243"/>
      <x:c r="Q43" s="243"/>
    </x:row>
    <x:row r="44" ht="26" customHeight="1">
      <x:c r="B44" s="245"/>
      <x:c r="C44" s="245"/>
      <x:c r="D44" s="245"/>
      <x:c r="E44" s="245"/>
      <x:c r="F44" s="245"/>
      <x:c r="G44" s="245"/>
      <x:c r="H44" s="245"/>
      <x:c r="I44" s="223"/>
      <x:c r="J44" s="223"/>
      <x:c r="K44" s="223"/>
      <x:c r="L44" s="223"/>
      <x:c r="M44" s="223"/>
      <x:c r="N44" s="223"/>
      <x:c r="O44" s="223"/>
      <x:c r="P44" s="223"/>
      <x:c r="Q44" s="223"/>
    </x:row>
    <x:row r="45">
      <x:c r="B45" s="246" t="str">
        <x:v>NOTA METODOLÓGICA</x:v>
      </x:c>
      <x:c r="C45" s="247"/>
      <x:c r="D45" s="248"/>
      <x:c r="E45" s="248"/>
      <x:c r="F45" s="248">
        <x:f t="shared" ref="F45:F52" si="0">D45-E45</x:f>
      </x:c>
      <x:c r="G45" s="249">
        <x:f t="shared" ref="G45:G52" si="1">IFERROR(D45/E45-1,"")</x:f>
      </x:c>
      <x:c r="H45" s="247"/>
      <x:c r="I45" s="223"/>
      <x:c r="J45" s="250"/>
      <x:c r="K45" s="251"/>
      <x:c r="L45" s="251"/>
      <x:c r="M45" s="251"/>
      <x:c r="N45" s="251"/>
      <x:c r="O45" s="251"/>
      <x:c r="P45" s="251"/>
      <x:c r="Q45" s="252"/>
    </x:row>
    <x:row r="46">
      <x:c r="B46" s="246" t="str">
        <x:v>Los precios son observaciones puntuales, algunos promocionales. Las reseñas son señal de compra, no volumen total de ventas. Reddit aporta lenguaje y fricción, pero sufre autoselección. Tratar las metas de KPI como hipótesis hasta tener datos propios.</x:v>
      </x:c>
      <x:c r="C46" s="247"/>
      <x:c r="D46" s="248"/>
      <x:c r="E46" s="248"/>
      <x:c r="F46" s="248">
        <x:f t="shared" si="0"/>
      </x:c>
      <x:c r="G46" s="249">
        <x:f t="shared" si="1"/>
      </x:c>
      <x:c r="H46" s="247"/>
      <x:c r="I46" s="223"/>
      <x:c r="J46" s="253"/>
      <x:c r="K46" s="254"/>
      <x:c r="L46" s="254"/>
      <x:c r="M46" s="254"/>
      <x:c r="N46" s="254"/>
      <x:c r="O46" s="254"/>
      <x:c r="P46" s="254"/>
      <x:c r="Q46" s="255"/>
    </x:row>
    <x:row r="47">
      <x:c r="B47" s="246"/>
      <x:c r="C47" s="247"/>
      <x:c r="D47" s="249"/>
      <x:c r="E47" s="249"/>
      <x:c r="F47" s="249">
        <x:f t="shared" si="0"/>
      </x:c>
      <x:c r="G47" s="249">
        <x:f t="shared" si="1"/>
      </x:c>
      <x:c r="H47" s="247"/>
      <x:c r="I47" s="223"/>
      <x:c r="J47" s="253"/>
      <x:c r="K47" s="254"/>
      <x:c r="L47" s="254"/>
      <x:c r="M47" s="254"/>
      <x:c r="N47" s="254"/>
      <x:c r="O47" s="254"/>
      <x:c r="P47" s="254"/>
      <x:c r="Q47" s="255"/>
    </x:row>
    <x:row r="48">
      <x:c r="B48" s="246"/>
      <x:c r="C48" s="247"/>
      <x:c r="D48" s="249"/>
      <x:c r="E48" s="249"/>
      <x:c r="F48" s="249">
        <x:f t="shared" si="0"/>
      </x:c>
      <x:c r="G48" s="249">
        <x:f t="shared" si="1"/>
      </x:c>
      <x:c r="H48" s="247"/>
      <x:c r="I48" s="223"/>
      <x:c r="J48" s="256"/>
      <x:c r="K48" s="257"/>
      <x:c r="L48" s="257"/>
      <x:c r="M48" s="257"/>
      <x:c r="N48" s="257"/>
      <x:c r="O48" s="257"/>
      <x:c r="P48" s="257"/>
      <x:c r="Q48" s="258"/>
    </x:row>
    <x:row r="49">
      <x:c r="B49" s="246"/>
      <x:c r="C49" s="247"/>
      <x:c r="D49" s="259"/>
      <x:c r="E49" s="259"/>
      <x:c r="F49" s="259">
        <x:f t="shared" si="0"/>
      </x:c>
      <x:c r="G49" s="249">
        <x:f t="shared" si="1"/>
      </x:c>
      <x:c r="H49" s="247"/>
      <x:c r="I49" s="223"/>
      <x:c r="J49" s="223"/>
      <x:c r="K49" s="223"/>
      <x:c r="L49" s="223"/>
      <x:c r="M49" s="223"/>
      <x:c r="N49" s="223"/>
      <x:c r="O49" s="223"/>
      <x:c r="P49" s="223"/>
      <x:c r="Q49" s="223"/>
    </x:row>
    <x:row r="50">
      <x:c r="B50" s="246"/>
      <x:c r="C50" s="247"/>
      <x:c r="D50" s="260"/>
      <x:c r="E50" s="260"/>
      <x:c r="F50" s="260">
        <x:f t="shared" si="0"/>
      </x:c>
      <x:c r="G50" s="249">
        <x:f t="shared" si="1"/>
      </x:c>
      <x:c r="H50" s="247"/>
      <x:c r="I50" s="223"/>
      <x:c r="J50" s="261"/>
      <x:c r="K50" s="262"/>
      <x:c r="L50" s="262"/>
      <x:c r="M50" s="262"/>
      <x:c r="N50" s="262"/>
      <x:c r="O50" s="262"/>
      <x:c r="P50" s="262"/>
      <x:c r="Q50" s="263"/>
    </x:row>
    <x:row r="51">
      <x:c r="B51" s="246"/>
      <x:c r="C51" s="247"/>
      <x:c r="D51" s="249"/>
      <x:c r="E51" s="249"/>
      <x:c r="F51" s="249">
        <x:f t="shared" si="0"/>
      </x:c>
      <x:c r="G51" s="249">
        <x:f t="shared" si="1"/>
      </x:c>
      <x:c r="H51" s="247"/>
      <x:c r="I51" s="223"/>
      <x:c r="J51" s="264"/>
      <x:c r="K51" s="265"/>
      <x:c r="L51" s="265"/>
      <x:c r="M51" s="265"/>
      <x:c r="N51" s="265"/>
      <x:c r="O51" s="265"/>
      <x:c r="P51" s="265"/>
      <x:c r="Q51" s="266"/>
    </x:row>
    <x:row r="52">
      <x:c r="B52" s="246"/>
      <x:c r="C52" s="247"/>
      <x:c r="D52" s="267"/>
      <x:c r="E52" s="267"/>
      <x:c r="F52" s="267">
        <x:f t="shared" si="0"/>
      </x:c>
      <x:c r="G52" s="249">
        <x:f t="shared" si="1"/>
      </x:c>
      <x:c r="H52" s="247"/>
      <x:c r="I52" s="223"/>
      <x:c r="J52" s="268"/>
      <x:c r="K52" s="269"/>
      <x:c r="L52" s="269"/>
      <x:c r="M52" s="269"/>
      <x:c r="N52" s="269"/>
      <x:c r="O52" s="269"/>
      <x:c r="P52" s="269"/>
      <x:c r="Q52" s="270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Q2"/>
    <x:mergeCell ref="B3:Q3"/>
    <x:mergeCell ref="B6:E8"/>
    <x:mergeCell ref="F6:I8"/>
    <x:mergeCell ref="J6:M8"/>
    <x:mergeCell ref="N6:Q8"/>
    <x:mergeCell ref="B11:I11"/>
    <x:mergeCell ref="J11:Q11"/>
    <x:mergeCell ref="B31:Q31"/>
    <x:mergeCell ref="B33:Q36"/>
    <x:mergeCell ref="B45:Q45"/>
    <x:mergeCell ref="B46:Q49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0c6ce41071ed4db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5" style="27" hidden="0" customWidth="1"/>
    <x:col min="6" max="6" width="15" style="27" hidden="0" customWidth="1"/>
    <x:col min="7" max="8" width="15" style="27" customWidth="1"/>
    <x:col min="9" max="9" width="44" style="27" hidden="0" customWidth="1"/>
    <x:col min="10" max="10" width="20" style="27" hidden="0" customWidth="1"/>
    <x:col min="11" max="11" width="20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24" hidden="0" customWidth="1"/>
    <x:col min="3" max="3" width="15" hidden="0" customWidth="1"/>
    <x:col min="4" max="4" width="15" hidden="0" customWidth="1"/>
    <x:col min="8" max="8" width="22" hidden="0" customWidth="1"/>
    <x:col min="12" max="12" width="20" hidden="0" customWidth="1"/>
  </x:cols>
  <x:sheetData>
    <x:row r="2" ht="26" customHeight="1">
      <x:c r="B2" s="142" t="str">
        <x:v>Investigación de demanda — productos de contenido social</x:v>
      </x:c>
      <x:c r="C2" s="142"/>
      <x:c r="D2" s="142"/>
      <x:c r="E2" s="142"/>
      <x:c r="F2" s="142"/>
      <x:c r="G2" s="142"/>
      <x:c r="H2" s="142"/>
      <x:c r="I2" s="142"/>
      <x:c r="J2" s="142"/>
      <x:c r="K2" s="142"/>
      <x:c r="L2" s="142"/>
      <x:c r="M2" s="142"/>
      <x:c r="N2" s="142"/>
      <x:c r="O2" s="142"/>
      <x:c r="P2" s="142"/>
    </x:row>
    <x:row r="3" ht="26" customHeight="1">
      <x:c r="B3" s="143" t="str">
        <x:v>Resumen de muestra y KPIs de lanzamiento</x:v>
      </x:c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  <x:c r="M3" s="144"/>
      <x:c r="N3" s="144"/>
      <x:c r="O3" s="144"/>
      <x:c r="P3" s="144"/>
    </x:row>
    <x:row r="4">
      <x:c r="B4" s="145"/>
      <x:c r="C4" s="145"/>
      <x:c r="D4" s="145"/>
      <x:c r="E4" s="145"/>
      <x:c r="F4" s="145"/>
      <x:c r="G4" s="145"/>
      <x:c r="H4" s="145"/>
      <x:c r="I4" s="145"/>
      <x:c r="J4" s="145"/>
      <x:c r="K4" s="145"/>
      <x:c r="L4" s="145"/>
      <x:c r="M4" s="145"/>
      <x:c r="N4" s="145"/>
      <x:c r="O4" s="145"/>
      <x:c r="P4" s="145"/>
    </x:row>
    <x:row r="5" ht="22" customHeight="1">
      <x:c r="B5" s="146" t="str">
        <x:v>CÓMO LEERLO</x:v>
      </x:c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</x:row>
    <x:row r="6" ht="22" customHeight="1">
      <x:c r="B6" s="147" t="str">
        <x:v>Muestra intencional de 35 listings visibles al 2026-07-19; precios promocionales pueden cambiar. No representa todo el mercado.</x:v>
      </x:c>
      <x:c r="C6" s="147"/>
      <x:c r="D6" s="147"/>
      <x:c r="E6" s="147"/>
      <x:c r="F6" s="147"/>
      <x:c r="G6" s="147"/>
      <x:c r="H6" s="147"/>
      <x:c r="I6" s="147"/>
      <x:c r="J6" s="147"/>
      <x:c r="K6" s="147"/>
      <x:c r="L6" s="147"/>
      <x:c r="M6" s="147"/>
      <x:c r="N6" s="147"/>
      <x:c r="O6" s="147"/>
      <x:c r="P6" s="147"/>
    </x:row>
    <x:row r="7" ht="22" customHeight="1">
      <x:c r="B7" s="147"/>
      <x:c r="C7" s="147"/>
      <x:c r="D7" s="147"/>
      <x:c r="E7" s="147"/>
      <x:c r="F7" s="147"/>
      <x:c r="G7" s="147"/>
      <x:c r="H7" s="147"/>
      <x:c r="I7" s="147"/>
      <x:c r="J7" s="147"/>
      <x:c r="K7" s="147"/>
      <x:c r="L7" s="147"/>
      <x:c r="M7" s="147"/>
      <x:c r="N7" s="147"/>
      <x:c r="O7" s="147"/>
      <x:c r="P7" s="147"/>
    </x:row>
    <x:row r="8">
      <x:c r="B8" s="145" t="str">
        <x:v>Fecha de corte</x:v>
      </x:c>
      <x:c r="C8" s="148" t="n">
        <x:v>46222</x:v>
      </x:c>
      <x:c r="D8" s="145"/>
      <x:c r="E8" s="145"/>
      <x:c r="F8" s="145"/>
      <x:c r="G8" s="145"/>
      <x:c r="H8" s="145"/>
      <x:c r="I8" s="145"/>
      <x:c r="J8" s="145"/>
      <x:c r="K8" s="145"/>
      <x:c r="L8" s="145"/>
      <x:c r="M8" s="145"/>
      <x:c r="N8" s="145"/>
      <x:c r="O8" s="145"/>
      <x:c r="P8" s="145"/>
    </x:row>
    <x:row r="9">
      <x:c r="B9" s="149"/>
      <x:c r="C9" s="150"/>
      <x:c r="D9" s="145"/>
      <x:c r="E9" s="145"/>
      <x:c r="F9" s="145"/>
      <x:c r="G9" s="145"/>
      <x:c r="H9" s="145"/>
      <x:c r="I9" s="145"/>
      <x:c r="J9" s="145"/>
      <x:c r="K9" s="145"/>
      <x:c r="L9" s="145"/>
      <x:c r="M9" s="145"/>
      <x:c r="N9" s="145"/>
      <x:c r="O9" s="145"/>
      <x:c r="P9" s="145"/>
    </x:row>
    <x:row r="10" ht="26">
      <x:c r="B10" s="149" t="str">
        <x:v>PRECIOS OBSERVADOS POR FAMILIA — FÓRMULAS SOBRE LA PESTAÑA LISTINGS</x:v>
      </x:c>
      <x:c r="C10" s="151"/>
      <x:c r="D10" s="145"/>
      <x:c r="E10" s="145"/>
      <x:c r="F10" s="145"/>
      <x:c r="G10" s="145"/>
      <x:c r="H10" s="145"/>
      <x:c r="I10" s="145"/>
      <x:c r="J10" s="145"/>
      <x:c r="K10" s="145"/>
      <x:c r="L10" s="145"/>
      <x:c r="M10" s="145"/>
      <x:c r="N10" s="145"/>
      <x:c r="O10" s="145"/>
      <x:c r="P10" s="145"/>
    </x:row>
    <x:row r="11">
      <x:c r="B11" s="149"/>
      <x:c r="C11" s="152"/>
      <x:c r="D11" s="152"/>
      <x:c r="E11" s="152"/>
      <x:c r="F11" s="152"/>
      <x:c r="G11" s="152"/>
      <x:c r="H11" s="152"/>
      <x:c r="I11" s="152"/>
      <x:c r="J11" s="152"/>
      <x:c r="K11" s="152"/>
      <x:c r="L11" s="152"/>
      <x:c r="M11" s="152"/>
      <x:c r="N11" s="152"/>
      <x:c r="O11" s="152"/>
      <x:c r="P11" s="152"/>
    </x:row>
    <x:row r="12">
      <x:c r="B12" s="153" t="str">
        <x:v>Familia</x:v>
      </x:c>
      <x:c r="C12" s="153" t="str">
        <x:v>N</x:v>
      </x:c>
      <x:c r="D12" s="153" t="str">
        <x:v>Precio medio</x:v>
      </x:c>
      <x:c r="E12" s="153" t="str">
        <x:v>Mínimo</x:v>
      </x:c>
      <x:c r="F12" s="153" t="str">
        <x:v>Máximo</x:v>
      </x:c>
      <x:c r="G12" s="145"/>
      <x:c r="H12" s="153" t="str">
        <x:v>KPI</x:v>
      </x:c>
      <x:c r="I12" s="153" t="str">
        <x:v>Definición</x:v>
      </x:c>
      <x:c r="J12" s="153" t="str">
        <x:v>Meta inicial*</x:v>
      </x:c>
      <x:c r="K12" s="153" t="str">
        <x:v>Guardrail</x:v>
      </x:c>
      <x:c r="L12" s="153" t="str">
        <x:v>Cadencia</x:v>
      </x:c>
      <x:c r="M12" s="145"/>
      <x:c r="N12" s="145"/>
      <x:c r="O12" s="145"/>
      <x:c r="P12" s="145"/>
    </x:row>
    <x:row r="13" ht="22" customHeight="1">
      <x:c r="B13" s="154" t="str">
        <x:v>Calendario/planificador</x:v>
      </x:c>
      <x:c r="C13" s="154" t="n">
        <x:f>COUNTIF('Listings observados'!$A$2:$A$36,B13)</x:f>
        <x:v>8</x:v>
      </x:c>
      <x:c r="D13" s="155" t="n">
        <x:f>AVERAGEIF('Listings observados'!$A$2:$A$36,B13,'Listings observados'!$C$2:$C$36)</x:f>
        <x:v>13.245</x:v>
      </x:c>
      <x:c r="E13" s="155" t="n">
        <x:f>MINIFS('Listings observados'!$C$2:$C$36,'Listings observados'!$A$2:$A$36,B13)</x:f>
        <x:v>4.99</x:v>
      </x:c>
      <x:c r="F13" s="155" t="n">
        <x:f>MAXIFS('Listings observados'!$C$2:$C$36,'Listings observados'!$A$2:$A$36,B13)</x:f>
        <x:v>29</x:v>
      </x:c>
      <x:c r="G13" s="154"/>
      <x:c r="H13" s="154" t="str">
        <x:v>Conversión pagada</x:v>
      </x:c>
      <x:c r="I13" s="154" t="str">
        <x:v>Compras / visitas calificadas</x:v>
      </x:c>
      <x:c r="J13" s="154" t="str">
        <x:v>2–5%</x:v>
      </x:c>
      <x:c r="K13" s="154" t="str">
        <x:v>No descontar por debajo del rango probado</x:v>
      </x:c>
      <x:c r="L13" s="154" t="str">
        <x:v>Semanal</x:v>
      </x:c>
      <x:c r="M13" s="154"/>
      <x:c r="N13" s="154"/>
      <x:c r="O13" s="154"/>
      <x:c r="P13" s="154"/>
    </x:row>
    <x:row r="14">
      <x:c r="B14" s="145" t="str">
        <x:v>Hooks/copys</x:v>
      </x:c>
      <x:c r="C14" s="145" t="n">
        <x:f>COUNTIF('Listings observados'!$A$2:$A$36,B14)</x:f>
        <x:v>7</x:v>
      </x:c>
      <x:c r="D14" s="156" t="n">
        <x:f>AVERAGEIF('Listings observados'!$A$2:$A$36,B14,'Listings observados'!$C$2:$C$36)</x:f>
        <x:v>6.457142857142857</x:v>
      </x:c>
      <x:c r="E14" s="156" t="n">
        <x:f>MINIFS('Listings observados'!$C$2:$C$36,'Listings observados'!$A$2:$A$36,B14)</x:f>
        <x:v>2.1</x:v>
      </x:c>
      <x:c r="F14" s="156" t="n">
        <x:f>MAXIFS('Listings observados'!$C$2:$C$36,'Listings observados'!$A$2:$A$36,B14)</x:f>
        <x:v>10.38</x:v>
      </x:c>
      <x:c r="G14" s="145"/>
      <x:c r="H14" s="145" t="str">
        <x:v>Activación &lt;24h</x:v>
      </x:c>
      <x:c r="I14" s="145" t="str">
        <x:v>Compradores que producen su primer output / compradores</x:v>
      </x:c>
      <x:c r="J14" s="145" t="str">
        <x:v>60–75%</x:v>
      </x:c>
      <x:c r="K14" s="145" t="str">
        <x:v>Soporte por confusión &lt;2/10 compradores</x:v>
      </x:c>
      <x:c r="L14" s="145" t="str">
        <x:v>Semanal</x:v>
      </x:c>
      <x:c r="M14" s="145"/>
      <x:c r="N14" s="145"/>
      <x:c r="O14" s="145"/>
      <x:c r="P14" s="145"/>
    </x:row>
    <x:row r="15" ht="34" customHeight="1">
      <x:c r="B15" s="157" t="str">
        <x:v>Pilares/estrategia</x:v>
      </x:c>
      <x:c r="C15" s="157" t="n">
        <x:f>COUNTIF('Listings observados'!$A$2:$A$36,B15)</x:f>
        <x:v>7</x:v>
      </x:c>
      <x:c r="D15" s="132" t="n">
        <x:f>AVERAGEIF('Listings observados'!$A$2:$A$36,B15,'Listings observados'!$C$2:$C$36)</x:f>
        <x:v>10.592857142857143</x:v>
      </x:c>
      <x:c r="E15" s="132" t="n">
        <x:f>MINIFS('Listings observados'!$C$2:$C$36,'Listings observados'!$A$2:$A$36,B15)</x:f>
        <x:v>3</x:v>
      </x:c>
      <x:c r="F15" s="132" t="n">
        <x:f>MAXIFS('Listings observados'!$C$2:$C$36,'Listings observados'!$A$2:$A$36,B15)</x:f>
        <x:v>21.21</x:v>
      </x:c>
      <x:c r="G15" s="157"/>
      <x:c r="H15" s="157" t="str">
        <x:v>Reuso semanas 2–4</x:v>
      </x:c>
      <x:c r="I15" s="157" t="str">
        <x:v>Compradores que vuelven a usar / compradores</x:v>
      </x:c>
      <x:c r="J15" s="157" t="str">
        <x:v>35–50%</x:v>
      </x:c>
      <x:c r="K15" s="157" t="str">
        <x:v>Problemas de acceso &lt;5%</x:v>
      </x:c>
      <x:c r="L15" s="157" t="str">
        <x:v>Mensual</x:v>
      </x:c>
      <x:c r="M15" s="157"/>
      <x:c r="N15" s="157"/>
      <x:c r="O15" s="157"/>
      <x:c r="P15" s="157"/>
    </x:row>
    <x:row r="16">
      <x:c r="B16" s="158" t="str">
        <x:v>Auditoría/analytics</x:v>
      </x:c>
      <x:c r="C16" s="159" t="n">
        <x:f>COUNTIF('Listings observados'!$A$2:$A$36,B16)</x:f>
        <x:v>4</x:v>
      </x:c>
      <x:c r="D16" s="160" t="n">
        <x:f>AVERAGEIF('Listings observados'!$A$2:$A$36,B16,'Listings observados'!$C$2:$C$36)</x:f>
        <x:v>14.1475</x:v>
      </x:c>
      <x:c r="E16" s="160" t="n">
        <x:f>MINIFS('Listings observados'!$C$2:$C$36,'Listings observados'!$A$2:$A$36,B16)</x:f>
        <x:v>4.25</x:v>
      </x:c>
      <x:c r="F16" s="160" t="n">
        <x:f>MAXIFS('Listings observados'!$C$2:$C$36,'Listings observados'!$A$2:$A$36,B16)</x:f>
        <x:v>25.5</x:v>
      </x:c>
      <x:c r="G16" s="161"/>
      <x:c r="H16" s="162"/>
      <x:c r="I16" s="163"/>
      <x:c r="J16" s="159"/>
      <x:c r="K16" s="159"/>
      <x:c r="L16" s="163"/>
      <x:c r="M16" s="163"/>
      <x:c r="N16" s="161"/>
      <x:c r="O16" s="162"/>
      <x:c r="P16" s="163"/>
    </x:row>
    <x:row r="17">
      <x:c r="B17" s="158" t="str">
        <x:v>Reto/plan guiado</x:v>
      </x:c>
      <x:c r="C17" s="159" t="n">
        <x:f>COUNTIF('Listings observados'!$A$2:$A$36,B17)</x:f>
        <x:v>6</x:v>
      </x:c>
      <x:c r="D17" s="160" t="n">
        <x:f>AVERAGEIF('Listings observados'!$A$2:$A$36,B17,'Listings observados'!$C$2:$C$36)</x:f>
        <x:v>7.303333333333334</x:v>
      </x:c>
      <x:c r="E17" s="160" t="n">
        <x:f>MINIFS('Listings observados'!$C$2:$C$36,'Listings observados'!$A$2:$A$36,B17)</x:f>
        <x:v>3</x:v>
      </x:c>
      <x:c r="F17" s="160" t="n">
        <x:f>MAXIFS('Listings observados'!$C$2:$C$36,'Listings observados'!$A$2:$A$36,B17)</x:f>
        <x:v>15.22</x:v>
      </x:c>
      <x:c r="G17" s="161"/>
      <x:c r="H17" s="162" t="str">
        <x:v>* Metas provisionales: deben recalibrarse tras 100 visitas calificadas o 20 ventas, lo que ocurra después.</x:v>
      </x:c>
      <x:c r="I17" s="163"/>
      <x:c r="J17" s="159"/>
      <x:c r="K17" s="159"/>
      <x:c r="L17" s="163"/>
      <x:c r="M17" s="163"/>
      <x:c r="N17" s="161"/>
      <x:c r="O17" s="162"/>
      <x:c r="P17" s="163"/>
    </x:row>
    <x:row r="18">
      <x:c r="B18" s="158" t="str">
        <x:v>Repurposing</x:v>
      </x:c>
      <x:c r="C18" s="159" t="n">
        <x:f>COUNTIF('Listings observados'!$A$2:$A$36,B18)</x:f>
        <x:v>3</x:v>
      </x:c>
      <x:c r="D18" s="160" t="n">
        <x:f>AVERAGEIF('Listings observados'!$A$2:$A$36,B18,'Listings observados'!$C$2:$C$36)</x:f>
        <x:v>14.483333333333334</x:v>
      </x:c>
      <x:c r="E18" s="160" t="n">
        <x:f>MINIFS('Listings observados'!$C$2:$C$36,'Listings observados'!$A$2:$A$36,B18)</x:f>
        <x:v>3.24</x:v>
      </x:c>
      <x:c r="F18" s="160" t="n">
        <x:f>MAXIFS('Listings observados'!$C$2:$C$36,'Listings observados'!$A$2:$A$36,B18)</x:f>
        <x:v>29</x:v>
      </x:c>
      <x:c r="G18" s="161"/>
      <x:c r="H18" s="162"/>
      <x:c r="I18" s="163"/>
      <x:c r="J18" s="159"/>
      <x:c r="K18" s="159"/>
      <x:c r="L18" s="163"/>
      <x:c r="M18" s="163"/>
      <x:c r="N18" s="161"/>
      <x:c r="O18" s="162"/>
      <x:c r="P18" s="163"/>
    </x:row>
    <x:row r="19">
      <x:c r="B19" s="158"/>
      <x:c r="C19" s="159"/>
      <x:c r="D19" s="159"/>
      <x:c r="E19" s="163"/>
      <x:c r="F19" s="163"/>
      <x:c r="G19" s="161"/>
      <x:c r="H19" s="162"/>
      <x:c r="I19" s="163"/>
      <x:c r="J19" s="159"/>
      <x:c r="K19" s="159"/>
      <x:c r="L19" s="163"/>
      <x:c r="M19" s="163"/>
      <x:c r="N19" s="161"/>
      <x:c r="O19" s="162"/>
      <x:c r="P19" s="163"/>
    </x:row>
    <x:row r="20">
      <x:c r="B20" s="158"/>
      <x:c r="C20" s="159"/>
      <x:c r="D20" s="159"/>
      <x:c r="E20" s="163"/>
      <x:c r="F20" s="163"/>
      <x:c r="G20" s="161"/>
      <x:c r="H20" s="162"/>
      <x:c r="I20" s="163"/>
      <x:c r="J20" s="159"/>
      <x:c r="K20" s="159"/>
      <x:c r="L20" s="163"/>
      <x:c r="M20" s="163"/>
      <x:c r="N20" s="161"/>
      <x:c r="O20" s="162"/>
      <x:c r="P20" s="163"/>
    </x:row>
    <x:row r="21">
      <x:c r="B21" s="158"/>
      <x:c r="C21" s="159"/>
      <x:c r="D21" s="159"/>
      <x:c r="E21" s="163"/>
      <x:c r="F21" s="163"/>
      <x:c r="G21" s="161"/>
      <x:c r="H21" s="162"/>
      <x:c r="I21" s="163"/>
      <x:c r="J21" s="159"/>
      <x:c r="K21" s="159"/>
      <x:c r="L21" s="163"/>
      <x:c r="M21" s="163"/>
      <x:c r="N21" s="161"/>
      <x:c r="O21" s="162"/>
      <x:c r="P21" s="163"/>
    </x:row>
    <x:row r="22">
      <x:c r="B22" s="158" t="str">
        <x:v>RECOMENDACIÓN DE PORTAFOLIO</x:v>
      </x:c>
      <x:c r="C22" s="159"/>
      <x:c r="D22" s="159"/>
      <x:c r="E22" s="163"/>
      <x:c r="F22" s="163"/>
      <x:c r="G22" s="161"/>
      <x:c r="H22" s="162"/>
      <x:c r="I22" s="163"/>
      <x:c r="J22" s="159"/>
      <x:c r="K22" s="159"/>
      <x:c r="L22" s="163"/>
      <x:c r="M22" s="163"/>
      <x:c r="N22" s="161"/>
      <x:c r="O22" s="162"/>
      <x:c r="P22" s="163"/>
    </x:row>
    <x:row r="23">
      <x:c r="B23" s="158"/>
      <x:c r="C23" s="159"/>
      <x:c r="D23" s="159"/>
      <x:c r="E23" s="163"/>
      <x:c r="F23" s="163"/>
      <x:c r="G23" s="161"/>
      <x:c r="H23" s="162"/>
      <x:c r="I23" s="163"/>
      <x:c r="J23" s="159"/>
      <x:c r="K23" s="159"/>
      <x:c r="L23" s="163"/>
      <x:c r="M23" s="163"/>
      <x:c r="N23" s="161"/>
      <x:c r="O23" s="162"/>
      <x:c r="P23" s="163"/>
    </x:row>
    <x:row r="24">
      <x:c r="B24" s="164" t="str">
        <x:v>Prioridad</x:v>
      </x:c>
      <x:c r="C24" s="165" t="str">
        <x:v>Producto</x:v>
      </x:c>
      <x:c r="D24" s="165" t="str">
        <x:v>Precio sugerido</x:v>
      </x:c>
      <x:c r="E24" s="166" t="str">
        <x:v>Por qué</x:v>
      </x:c>
      <x:c r="F24" s="163"/>
      <x:c r="G24" s="161"/>
      <x:c r="H24" s="162"/>
      <x:c r="I24" s="163"/>
      <x:c r="J24" s="159"/>
      <x:c r="K24" s="159"/>
      <x:c r="L24" s="163"/>
      <x:c r="M24" s="163"/>
      <x:c r="N24" s="161"/>
      <x:c r="O24" s="162"/>
      <x:c r="P24" s="163"/>
    </x:row>
    <x:row r="25">
      <x:c r="B25" s="158" t="str">
        <x:v>1</x:v>
      </x:c>
      <x:c r="C25" s="159" t="str">
        <x:v>Sistema “1 idea → 10 piezas”</x:v>
      </x:c>
      <x:c r="D25" s="159" t="str">
        <x:v>$19–29</x:v>
      </x:c>
      <x:c r="E25" s="163" t="str">
        <x:v>Mayor dolor + ahorro de tiempo; incluir ejemplo completo y adaptación por canal.</x:v>
      </x:c>
      <x:c r="F25" s="163"/>
      <x:c r="G25" s="161"/>
      <x:c r="H25" s="162"/>
      <x:c r="I25" s="163"/>
      <x:c r="J25" s="159"/>
      <x:c r="K25" s="159"/>
      <x:c r="L25" s="163"/>
      <x:c r="M25" s="163"/>
      <x:c r="N25" s="161"/>
      <x:c r="O25" s="162"/>
      <x:c r="P25" s="163"/>
    </x:row>
    <x:row r="26">
      <x:c r="B26" s="158" t="str">
        <x:v>2</x:v>
      </x:c>
      <x:c r="C26" s="159" t="str">
        <x:v>Kit “Primeras 10 publicaciones” por nicho</x:v>
      </x:c>
      <x:c r="D26" s="159" t="str">
        <x:v>$15–25</x:v>
      </x:c>
      <x:c r="E26" s="163" t="str">
        <x:v>Reduce la decisión y la curva de aprendizaje sin calendario rígido.</x:v>
      </x:c>
      <x:c r="F26" s="163"/>
      <x:c r="G26" s="161"/>
      <x:c r="H26" s="162"/>
      <x:c r="I26" s="163"/>
      <x:c r="J26" s="159"/>
      <x:c r="K26" s="159"/>
      <x:c r="L26" s="163"/>
      <x:c r="M26" s="163"/>
      <x:c r="N26" s="161"/>
      <x:c r="O26" s="162"/>
      <x:c r="P26" s="163"/>
    </x:row>
    <x:row r="27">
      <x:c r="B27" s="158" t="str">
        <x:v>3</x:v>
      </x:c>
      <x:c r="C27" s="159" t="str">
        <x:v>Auditoría guiada + plan de 7 días</x:v>
      </x:c>
      <x:c r="D27" s="159" t="str">
        <x:v>$19–29</x:v>
      </x:c>
      <x:c r="E27" s="163" t="str">
        <x:v>Compra profesional: ahorra tiempo y convierte diagnóstico en acciones.</x:v>
      </x:c>
      <x:c r="F27" s="163"/>
      <x:c r="G27" s="161"/>
      <x:c r="H27" s="162"/>
      <x:c r="I27" s="163"/>
      <x:c r="J27" s="159"/>
      <x:c r="K27" s="159"/>
      <x:c r="L27" s="163"/>
      <x:c r="M27" s="163"/>
      <x:c r="N27" s="161"/>
      <x:c r="O27" s="162"/>
      <x:c r="P27" s="163"/>
    </x:row>
    <x:row r="28">
      <x:c r="B28" s="145" t="str">
        <x:v>4</x:v>
      </x:c>
      <x:c r="C28" s="145" t="str">
        <x:v>Biblioteca de hooks nichada</x:v>
      </x:c>
      <x:c r="D28" s="145" t="str">
        <x:v>$7–12</x:v>
      </x:c>
      <x:c r="E28" s="145" t="str">
        <x:v>Mercado probado pero comoditizado; mejor como entrada u order bump.</x:v>
      </x:c>
      <x:c r="F28" s="145"/>
      <x:c r="G28" s="145"/>
      <x:c r="H28" s="145"/>
      <x:c r="I28" s="145"/>
      <x:c r="J28" s="145"/>
      <x:c r="K28" s="145"/>
      <x:c r="L28" s="145"/>
      <x:c r="M28" s="145"/>
      <x:c r="N28" s="145"/>
      <x:c r="O28" s="145"/>
      <x:c r="P28" s="145"/>
    </x:row>
    <x:row r="29" ht="22" customHeight="1">
      <x:c r="B29" s="167" t="str">
        <x:v>5</x:v>
      </x:c>
      <x:c r="C29" s="167" t="str">
        <x:v>Calendario genérico</x:v>
      </x:c>
      <x:c r="D29" s="167" t="str">
        <x:v>$5–10</x:v>
      </x:c>
      <x:c r="E29" s="167" t="str">
        <x:v>Alta competencia y alternativas gratis; lanzar solo con flujo flexible y revisión semanal.</x:v>
      </x:c>
      <x:c r="F29" s="145"/>
      <x:c r="G29" s="167"/>
      <x:c r="H29" s="167"/>
      <x:c r="I29" s="167"/>
      <x:c r="J29" s="167"/>
      <x:c r="K29" s="145"/>
      <x:c r="L29" s="145"/>
      <x:c r="M29" s="145"/>
      <x:c r="N29" s="145"/>
      <x:c r="O29" s="145"/>
      <x:c r="P29" s="145"/>
    </x:row>
    <x:row r="30">
      <x:c r="B30" s="168"/>
      <x:c r="C30" s="168"/>
      <x:c r="D30" s="145"/>
      <x:c r="E30" s="145"/>
      <x:c r="F30" s="145"/>
      <x:c r="G30" s="168"/>
      <x:c r="H30" s="168"/>
      <x:c r="I30" s="145"/>
      <x:c r="J30" s="145"/>
      <x:c r="K30" s="145"/>
      <x:c r="L30" s="145"/>
      <x:c r="M30" s="145"/>
      <x:c r="N30" s="145"/>
      <x:c r="O30" s="145"/>
      <x:c r="P30" s="145"/>
    </x:row>
    <x:row r="31">
      <x:c r="B31" s="152"/>
      <x:c r="C31" s="169"/>
      <x:c r="D31" s="145"/>
      <x:c r="E31" s="145"/>
      <x:c r="F31" s="145"/>
      <x:c r="G31" s="152"/>
      <x:c r="H31" s="163"/>
      <x:c r="I31" s="145"/>
      <x:c r="J31" s="145"/>
      <x:c r="K31" s="145"/>
      <x:c r="L31" s="145"/>
      <x:c r="M31" s="145"/>
      <x:c r="N31" s="145"/>
      <x:c r="O31" s="145"/>
      <x:c r="P31" s="145"/>
    </x:row>
    <x:row r="32">
      <x:c r="B32" s="152"/>
      <x:c r="C32" s="163"/>
      <x:c r="D32" s="145"/>
      <x:c r="E32" s="145"/>
      <x:c r="F32" s="145"/>
      <x:c r="G32" s="152"/>
      <x:c r="H32" s="163"/>
      <x:c r="I32" s="145"/>
      <x:c r="J32" s="145"/>
      <x:c r="K32" s="145"/>
      <x:c r="L32" s="145"/>
      <x:c r="M32" s="145"/>
      <x:c r="N32" s="145"/>
      <x:c r="O32" s="145"/>
      <x:c r="P32" s="145"/>
    </x:row>
    <x:row r="33">
      <x:c r="B33" s="152"/>
      <x:c r="C33" s="163"/>
      <x:c r="D33" s="145"/>
      <x:c r="E33" s="145"/>
      <x:c r="F33" s="145"/>
      <x:c r="G33" s="152"/>
      <x:c r="H33" s="163"/>
      <x:c r="I33" s="145"/>
      <x:c r="J33" s="145"/>
      <x:c r="K33" s="145"/>
      <x:c r="L33" s="145"/>
      <x:c r="M33" s="145"/>
      <x:c r="N33" s="145"/>
      <x:c r="O33" s="145"/>
      <x:c r="P33" s="145"/>
    </x:row>
    <x:row r="34">
      <x:c r="B34" s="152"/>
      <x:c r="C34" s="163"/>
      <x:c r="D34" s="145"/>
      <x:c r="E34" s="145"/>
      <x:c r="F34" s="145"/>
      <x:c r="G34" s="152"/>
      <x:c r="H34" s="163"/>
      <x:c r="I34" s="145"/>
      <x:c r="J34" s="145"/>
      <x:c r="K34" s="145"/>
      <x:c r="L34" s="145"/>
      <x:c r="M34" s="145"/>
      <x:c r="N34" s="145"/>
      <x:c r="O34" s="145"/>
      <x:c r="P34" s="145"/>
    </x:row>
    <x:row r="35">
      <x:c r="B35" s="152"/>
      <x:c r="C35" s="163"/>
      <x:c r="D35" s="145"/>
      <x:c r="E35" s="145"/>
      <x:c r="F35" s="145"/>
      <x:c r="G35" s="147"/>
      <x:c r="H35" s="170"/>
      <x:c r="I35" s="145"/>
      <x:c r="J35" s="145"/>
      <x:c r="K35" s="145"/>
      <x:c r="L35" s="145"/>
      <x:c r="M35" s="145"/>
      <x:c r="N35" s="145"/>
      <x:c r="O35" s="145"/>
      <x:c r="P35" s="145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P2"/>
    <x:mergeCell ref="B3:P3"/>
    <x:mergeCell ref="B10:P10"/>
    <x:mergeCell ref="H17:L17"/>
    <x:mergeCell ref="B22:P22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f>"Metric"</x:f>
        <x:v>Metric</x:v>
      </x:c>
      <x:c r="B1" s="3" t="str">
        <x:f>"Actual"</x:f>
        <x:v>Actual</x:v>
      </x:c>
      <x:c r="C1" s="3" t="str">
        <x:f>"Target"</x:f>
        <x:v>Target</x:v>
      </x:c>
      <x:c r="D1" s="3" t="str">
        <x:f>"Prior"</x:f>
        <x:v>Prior</x:v>
      </x:c>
      <x:c r="E1" s="3" t="str">
        <x:f>"Direction"</x:f>
        <x:v>Direction</x:v>
      </x:c>
      <x:c r="F1" s="3" t="str">
        <x:f>"Status"</x:f>
        <x:v>Status</x:v>
      </x:c>
      <x:c r="G1" s="4"/>
      <x:c r="H1" s="3" t="str">
        <x:f>"Period"</x:f>
        <x:v>Period</x:v>
      </x:c>
      <x:c r="I1" s="3" t="str">
        <x:f>"Active Users"</x:f>
        <x:v>Active Users</x:v>
      </x:c>
      <x:c r="J1" s="3" t="str">
        <x:f>"Target"</x:f>
        <x:v>Target</x:v>
      </x:c>
      <x:c r="K1" s="4"/>
      <x:c r="L1" s="3" t="str">
        <x:f>"Period"</x:f>
        <x:v>Period</x:v>
      </x:c>
      <x:c r="M1" s="3" t="str">
        <x:f>"MRR"</x:f>
        <x:v>MRR</x:v>
      </x:c>
      <x:c r="N1" s="3" t="str">
        <x:f>"Target"</x:f>
        <x:v>Target</x:v>
      </x:c>
      <x:c r="O1" s="4"/>
      <x:c r="P1" s="3" t="str">
        <x:f>"Stage"</x:f>
        <x:v>Stage</x:v>
      </x:c>
      <x:c r="Q1" s="3" t="str">
        <x:f>"Users"</x:f>
        <x:v>Users</x:v>
      </x:c>
      <x:c r="R1" s="4"/>
      <x:c r="S1" s="3" t="str">
        <x:f>"Segment"</x:f>
        <x:v>Segment</x:v>
      </x:c>
      <x:c r="T1" s="3" t="str">
        <x:f>"MRR"</x:f>
        <x:v>MRR</x:v>
      </x:c>
    </x:row>
    <x:row r="2">
      <x:c r="A2" s="4" t="str">
        <x:f>"Active Users"</x:f>
        <x:v>Active Users</x:v>
      </x:c>
      <x:c r="B2" s="6" t="e">
        <x:f>INDEX('Data &amp; Targets'!$C$16:$C$27,MATCH('Data &amp; Targets'!$C$9,'Data &amp; Targets'!$B$16:$B$27,0))</x:f>
        <x:v>#N/A</x:v>
      </x:c>
      <x:c r="C2" s="6" t="e">
        <x:f>INDEX('Data &amp; Targets'!$J$16:$J$27,MATCH('Data &amp; Targets'!$C$9,'Data &amp; Targets'!$B$16:$B$27,0))</x:f>
        <x:v>#N/A</x:v>
      </x:c>
      <x:c r="D2" s="6" t="e">
        <x:f>IF(MATCH('Data &amp; Targets'!$C$9,'Data &amp; Targets'!$B$16:$B$27,0)&lt;=1,"",INDEX('Data &amp; Targets'!$C$16:$C$27,MATCH('Data &amp; Targets'!$C$9,'Data &amp; Targets'!$B$16:$B$27,0)-1))</x:f>
        <x:v>#N/A</x:v>
      </x:c>
      <x:c r="E2" s="4" t="str">
        <x:f t="shared" ref="E2:E7" si="0">"Higher"</x:f>
        <x:v>Higher</x:v>
      </x:c>
      <x:c r="F2" s="4" t="e">
        <x:f t="shared" ref="F2:F9" si="1">IF(E2="Higher",IF(B2&gt;=C2,"Favorable",IF(B2&gt;=C2*0.95,"Watch","Unfavorable")),IF(B2&lt;=C2,"Favorable",IF(B2&lt;=C2*1.05,"Watch","Unfavorable")))</x:f>
        <x:v>#N/A</x:v>
      </x:c>
      <x:c r="G2" s="4"/>
      <x:c r="H2" s="11" t="str">
        <x:f>TEXT('Data &amp; Targets'!B16,"mmm yyyy")</x:f>
        <x:v>Auditoría/analytics</x:v>
      </x:c>
      <x:c r="I2" s="4" t="n">
        <x:f>'Data &amp; Targets'!C16</x:f>
        <x:v>4</x:v>
      </x:c>
      <x:c r="J2" s="4" t="n">
        <x:f>'Data &amp; Targets'!J16</x:f>
        <x:v>0</x:v>
      </x:c>
      <x:c r="K2" s="4"/>
      <x:c r="L2" s="11" t="str">
        <x:f>TEXT('Data &amp; Targets'!B16,"mmm yyyy")</x:f>
        <x:v>Auditoría/analytics</x:v>
      </x:c>
      <x:c r="M2" s="4" t="n">
        <x:f>'Data &amp; Targets'!H16</x:f>
        <x:v>0</x:v>
      </x:c>
      <x:c r="N2" s="4" t="n">
        <x:f>'Data &amp; Targets'!O16</x:f>
        <x:v>0</x:v>
      </x:c>
      <x:c r="O2" s="4"/>
      <x:c r="P2" s="4" t="str">
        <x:f>"Paid Accounts"</x:f>
        <x:v>Paid Accounts</x:v>
      </x:c>
      <x:c r="Q2" s="6" t="e">
        <x:f>$B$2*'Data &amp; Targets'!$C$31*'Data &amp; Targets'!$C$32*'Data &amp; Targets'!$C$33*'Data &amp; Targets'!$C$34*'Data &amp; Targets'!$C$35</x:f>
        <x:v>#N/A</x:v>
      </x:c>
      <x:c r="R2" s="4"/>
      <x:c r="S2" s="4" t="n">
        <x:f>'Data &amp; Targets'!G34</x:f>
        <x:v>0</x:v>
      </x:c>
      <x:c r="T2" s="9" t="e">
        <x:f>$B$7*'Data &amp; Targets'!H34</x:f>
        <x:v>#N/A</x:v>
      </x:c>
    </x:row>
    <x:row r="3">
      <x:c r="A3" s="4" t="str">
        <x:f>"New Users"</x:f>
        <x:v>New Users</x:v>
      </x:c>
      <x:c r="B3" s="6" t="e">
        <x:f>INDEX('Data &amp; Targets'!$D$16:$D$27,MATCH('Data &amp; Targets'!$C$9,'Data &amp; Targets'!$B$16:$B$27,0))</x:f>
        <x:v>#N/A</x:v>
      </x:c>
      <x:c r="C3" s="6" t="e">
        <x:f>INDEX('Data &amp; Targets'!$K$16:$K$27,MATCH('Data &amp; Targets'!$C$9,'Data &amp; Targets'!$B$16:$B$27,0))</x:f>
        <x:v>#N/A</x:v>
      </x:c>
      <x:c r="D3" s="6" t="e">
        <x:f>IF(MATCH('Data &amp; Targets'!$C$9,'Data &amp; Targets'!$B$16:$B$27,0)&lt;=1,"",INDEX('Data &amp; Targets'!$D$16:$D$27,MATCH('Data &amp; Targets'!$C$9,'Data &amp; Targets'!$B$16:$B$27,0)-1))</x:f>
        <x:v>#N/A</x:v>
      </x:c>
      <x:c r="E3" s="4" t="str">
        <x:f t="shared" si="0"/>
        <x:v>Higher</x:v>
      </x:c>
      <x:c r="F3" s="4" t="str">
        <x:f t="shared" si="1"/>
        <x:v>Favorable</x:v>
      </x:c>
      <x:c r="G3" s="4"/>
      <x:c r="H3" s="11" t="str">
        <x:f>TEXT('Data &amp; Targets'!B17,"mmm yyyy")</x:f>
        <x:v>Reto/plan guiado</x:v>
      </x:c>
      <x:c r="I3" s="4" t="n">
        <x:f>'Data &amp; Targets'!C17</x:f>
        <x:v>6</x:v>
      </x:c>
      <x:c r="J3" s="4" t="n">
        <x:f>'Data &amp; Targets'!J17</x:f>
        <x:v>0</x:v>
      </x:c>
      <x:c r="K3" s="4"/>
      <x:c r="L3" s="11" t="str">
        <x:f>TEXT('Data &amp; Targets'!B17,"mmm yyyy")</x:f>
        <x:v>Reto/plan guiado</x:v>
      </x:c>
      <x:c r="M3" s="4" t="str">
        <x:f>'Data &amp; Targets'!H17</x:f>
        <x:v>* Metas provisionales: deben recalibrarse tras 100 visitas calificadas o 20 ventas, lo que ocurra después.</x:v>
      </x:c>
      <x:c r="N3" s="4" t="n">
        <x:f>'Data &amp; Targets'!O17</x:f>
        <x:v>0</x:v>
      </x:c>
      <x:c r="O3" s="4"/>
      <x:c r="P3" s="4" t="str">
        <x:f>"Activated Users"</x:f>
        <x:v>Activated Users</x:v>
      </x:c>
      <x:c r="Q3" s="6" t="e">
        <x:f>$B$2*'Data &amp; Targets'!$C$31*'Data &amp; Targets'!$C$32*'Data &amp; Targets'!$C$33*'Data &amp; Targets'!$C$34</x:f>
        <x:v>#N/A</x:v>
      </x:c>
      <x:c r="R3" s="4"/>
      <x:c r="S3" s="4" t="n">
        <x:f>'Data &amp; Targets'!G33</x:f>
        <x:v>0</x:v>
      </x:c>
      <x:c r="T3" s="9" t="e">
        <x:f>$B$7*'Data &amp; Targets'!H33</x:f>
        <x:v>#N/A</x:v>
      </x:c>
    </x:row>
    <x:row r="4">
      <x:c r="A4" s="4" t="str">
        <x:f>"30-Day Retention"</x:f>
        <x:v>30-Day Retention</x:v>
      </x:c>
      <x:c r="B4" s="7" t="e">
        <x:f>INDEX('Data &amp; Targets'!$E$16:$E$27,MATCH('Data &amp; Targets'!$C$9,'Data &amp; Targets'!$B$16:$B$27,0))</x:f>
        <x:v>#N/A</x:v>
      </x:c>
      <x:c r="C4" s="7" t="e">
        <x:f>INDEX('Data &amp; Targets'!$L$16:$L$27,MATCH('Data &amp; Targets'!$C$9,'Data &amp; Targets'!$B$16:$B$27,0))</x:f>
        <x:v>#N/A</x:v>
      </x:c>
      <x:c r="D4" s="7" t="e">
        <x:f>IF(MATCH('Data &amp; Targets'!$C$9,'Data &amp; Targets'!$B$16:$B$27,0)&lt;=1,"",INDEX('Data &amp; Targets'!$E$16:$E$27,MATCH('Data &amp; Targets'!$C$9,'Data &amp; Targets'!$B$16:$B$27,0)-1))</x:f>
        <x:v>#N/A</x:v>
      </x:c>
      <x:c r="E4" s="4" t="str">
        <x:f t="shared" si="0"/>
        <x:v>Higher</x:v>
      </x:c>
      <x:c r="F4" s="4" t="str">
        <x:f t="shared" si="1"/>
        <x:v>Favorable</x:v>
      </x:c>
      <x:c r="G4" s="4"/>
      <x:c r="H4" s="11" t="str">
        <x:f>TEXT('Data &amp; Targets'!B18,"mmm yyyy")</x:f>
        <x:v>Repurposing</x:v>
      </x:c>
      <x:c r="I4" s="4" t="n">
        <x:f>'Data &amp; Targets'!C18</x:f>
        <x:v>3</x:v>
      </x:c>
      <x:c r="J4" s="4" t="n">
        <x:f>'Data &amp; Targets'!J18</x:f>
        <x:v>0</x:v>
      </x:c>
      <x:c r="K4" s="4"/>
      <x:c r="L4" s="11" t="str">
        <x:f>TEXT('Data &amp; Targets'!B18,"mmm yyyy")</x:f>
        <x:v>Repurposing</x:v>
      </x:c>
      <x:c r="M4" s="4" t="n">
        <x:f>'Data &amp; Targets'!H18</x:f>
        <x:v>0</x:v>
      </x:c>
      <x:c r="N4" s="4" t="n">
        <x:f>'Data &amp; Targets'!O18</x:f>
        <x:v>0</x:v>
      </x:c>
      <x:c r="O4" s="4"/>
      <x:c r="P4" s="4" t="str">
        <x:f>"Signed Up"</x:f>
        <x:v>Signed Up</x:v>
      </x:c>
      <x:c r="Q4" s="6" t="e">
        <x:f>$B$2*'Data &amp; Targets'!$C$31*'Data &amp; Targets'!$C$32*'Data &amp; Targets'!$C$33</x:f>
        <x:v>#N/A</x:v>
      </x:c>
      <x:c r="R4" s="4"/>
      <x:c r="S4" s="4" t="n">
        <x:f>'Data &amp; Targets'!G32</x:f>
        <x:v>0</x:v>
      </x:c>
      <x:c r="T4" s="9" t="e">
        <x:f>$B$7*'Data &amp; Targets'!H32</x:f>
        <x:v>#N/A</x:v>
      </x:c>
    </x:row>
    <x:row r="5">
      <x:c r="A5" s="4" t="str">
        <x:f>"Trial-to-Paid Conversion"</x:f>
        <x:v>Trial-to-Paid Conversion</x:v>
      </x:c>
      <x:c r="B5" s="7" t="e">
        <x:f>INDEX('Data &amp; Targets'!$F$16:$F$27,MATCH('Data &amp; Targets'!$C$9,'Data &amp; Targets'!$B$16:$B$27,0))</x:f>
        <x:v>#N/A</x:v>
      </x:c>
      <x:c r="C5" s="7" t="e">
        <x:f>INDEX('Data &amp; Targets'!$M$16:$M$27,MATCH('Data &amp; Targets'!$C$9,'Data &amp; Targets'!$B$16:$B$27,0))</x:f>
        <x:v>#N/A</x:v>
      </x:c>
      <x:c r="D5" s="7" t="e">
        <x:f>IF(MATCH('Data &amp; Targets'!$C$9,'Data &amp; Targets'!$B$16:$B$27,0)&lt;=1,"",INDEX('Data &amp; Targets'!$F$16:$F$27,MATCH('Data &amp; Targets'!$C$9,'Data &amp; Targets'!$B$16:$B$27,0)-1))</x:f>
        <x:v>#N/A</x:v>
      </x:c>
      <x:c r="E5" s="4" t="str">
        <x:f t="shared" si="0"/>
        <x:v>Higher</x:v>
      </x:c>
      <x:c r="F5" s="4" t="str">
        <x:f t="shared" si="1"/>
        <x:v>Favorable</x:v>
      </x:c>
      <x:c r="G5" s="4"/>
      <x:c r="H5" s="11" t="str">
        <x:f>TEXT('Data &amp; Targets'!B19,"mmm yyyy")</x:f>
      </x:c>
      <x:c r="I5" s="4" t="n">
        <x:f>'Data &amp; Targets'!C19</x:f>
        <x:v>0</x:v>
      </x:c>
      <x:c r="J5" s="4" t="n">
        <x:f>'Data &amp; Targets'!J19</x:f>
        <x:v>0</x:v>
      </x:c>
      <x:c r="K5" s="4"/>
      <x:c r="L5" s="11" t="str">
        <x:f>TEXT('Data &amp; Targets'!B19,"mmm yyyy")</x:f>
      </x:c>
      <x:c r="M5" s="4" t="n">
        <x:f>'Data &amp; Targets'!H19</x:f>
        <x:v>0</x:v>
      </x:c>
      <x:c r="N5" s="4" t="n">
        <x:f>'Data &amp; Targets'!O19</x:f>
        <x:v>0</x:v>
      </x:c>
      <x:c r="O5" s="4"/>
      <x:c r="P5" s="4" t="str">
        <x:f>"Signup Started"</x:f>
        <x:v>Signup Started</x:v>
      </x:c>
      <x:c r="Q5" s="6" t="e">
        <x:f>$B$2*'Data &amp; Targets'!$C$31*'Data &amp; Targets'!$C$32</x:f>
        <x:v>#N/A</x:v>
      </x:c>
      <x:c r="R5" s="4"/>
      <x:c r="S5" s="4" t="n">
        <x:f>'Data &amp; Targets'!G31</x:f>
        <x:v>0</x:v>
      </x:c>
      <x:c r="T5" s="9" t="e">
        <x:f>$B$7*'Data &amp; Targets'!H31</x:f>
        <x:v>#N/A</x:v>
      </x:c>
    </x:row>
    <x:row r="6">
      <x:c r="A6" s="4" t="str">
        <x:f>"Sessions / User"</x:f>
        <x:v>Sessions / User</x:v>
      </x:c>
      <x:c r="B6" s="8" t="e">
        <x:f>INDEX('Data &amp; Targets'!$G$16:$G$27,MATCH('Data &amp; Targets'!$C$9,'Data &amp; Targets'!$B$16:$B$27,0))</x:f>
        <x:v>#N/A</x:v>
      </x:c>
      <x:c r="C6" s="8" t="e">
        <x:f>INDEX('Data &amp; Targets'!$N$16:$N$27,MATCH('Data &amp; Targets'!$C$9,'Data &amp; Targets'!$B$16:$B$27,0))</x:f>
        <x:v>#N/A</x:v>
      </x:c>
      <x:c r="D6" s="8" t="e">
        <x:f>IF(MATCH('Data &amp; Targets'!$C$9,'Data &amp; Targets'!$B$16:$B$27,0)&lt;=1,"",INDEX('Data &amp; Targets'!$G$16:$G$27,MATCH('Data &amp; Targets'!$C$9,'Data &amp; Targets'!$B$16:$B$27,0)-1))</x:f>
        <x:v>#N/A</x:v>
      </x:c>
      <x:c r="E6" s="4" t="str">
        <x:f t="shared" si="0"/>
        <x:v>Higher</x:v>
      </x:c>
      <x:c r="F6" s="4" t="str">
        <x:f t="shared" si="1"/>
        <x:v>Favorable</x:v>
      </x:c>
      <x:c r="G6" s="4"/>
      <x:c r="H6" s="11" t="str">
        <x:f>TEXT('Data &amp; Targets'!B20,"mmm yyyy")</x:f>
      </x:c>
      <x:c r="I6" s="4" t="n">
        <x:f>'Data &amp; Targets'!C20</x:f>
        <x:v>0</x:v>
      </x:c>
      <x:c r="J6" s="4" t="n">
        <x:f>'Data &amp; Targets'!J20</x:f>
        <x:v>0</x:v>
      </x:c>
      <x:c r="K6" s="4"/>
      <x:c r="L6" s="11" t="str">
        <x:f>TEXT('Data &amp; Targets'!B20,"mmm yyyy")</x:f>
      </x:c>
      <x:c r="M6" s="4" t="n">
        <x:f>'Data &amp; Targets'!H20</x:f>
        <x:v>0</x:v>
      </x:c>
      <x:c r="N6" s="4" t="n">
        <x:f>'Data &amp; Targets'!O20</x:f>
        <x:v>0</x:v>
      </x:c>
      <x:c r="O6" s="4"/>
      <x:c r="P6" s="4" t="str">
        <x:f>"Site Visitors"</x:f>
        <x:v>Site Visitors</x:v>
      </x:c>
      <x:c r="Q6" s="6" t="e">
        <x:f>$B$2*'Data &amp; Targets'!$C$31</x:f>
        <x:v>#N/A</x:v>
      </x:c>
      <x:c r="R6" s="4"/>
      <x:c r="S6" s="4"/>
      <x:c r="T6" s="4"/>
    </x:row>
    <x:row r="7">
      <x:c r="A7" s="4" t="str">
        <x:f>"Monthly Recurring Revenue"</x:f>
        <x:v>Monthly Recurring Revenue</x:v>
      </x:c>
      <x:c r="B7" s="9" t="e">
        <x:f>INDEX('Data &amp; Targets'!$H$16:$H$27,MATCH('Data &amp; Targets'!$C$9,'Data &amp; Targets'!$B$16:$B$27,0))</x:f>
        <x:v>#N/A</x:v>
      </x:c>
      <x:c r="C7" s="9" t="e">
        <x:f>INDEX('Data &amp; Targets'!$O$16:$O$27,MATCH('Data &amp; Targets'!$C$9,'Data &amp; Targets'!$B$16:$B$27,0))</x:f>
        <x:v>#N/A</x:v>
      </x:c>
      <x:c r="D7" s="9" t="e">
        <x:f>IF(MATCH('Data &amp; Targets'!$C$9,'Data &amp; Targets'!$B$16:$B$27,0)&lt;=1,"",INDEX('Data &amp; Targets'!$H$16:$H$27,MATCH('Data &amp; Targets'!$C$9,'Data &amp; Targets'!$B$16:$B$27,0)-1))</x:f>
        <x:v>#N/A</x:v>
      </x:c>
      <x:c r="E7" s="4" t="str">
        <x:f t="shared" si="0"/>
        <x:v>Higher</x:v>
      </x:c>
      <x:c r="F7" s="4" t="str">
        <x:f t="shared" si="1"/>
        <x:v>Favorable</x:v>
      </x:c>
      <x:c r="G7" s="4"/>
      <x:c r="H7" s="11" t="str">
        <x:f>TEXT('Data &amp; Targets'!B21,"mmm yyyy")</x:f>
      </x:c>
      <x:c r="I7" s="4" t="n">
        <x:f>'Data &amp; Targets'!C21</x:f>
        <x:v>0</x:v>
      </x:c>
      <x:c r="J7" s="4" t="n">
        <x:f>'Data &amp; Targets'!J21</x:f>
        <x:v>0</x:v>
      </x:c>
      <x:c r="K7" s="4"/>
      <x:c r="L7" s="11" t="str">
        <x:f>TEXT('Data &amp; Targets'!B21,"mmm yyyy")</x:f>
      </x:c>
      <x:c r="M7" s="4" t="n">
        <x:f>'Data &amp; Targets'!H21</x:f>
        <x:v>0</x:v>
      </x:c>
      <x:c r="N7" s="4" t="n">
        <x:f>'Data &amp; Targets'!O21</x:f>
        <x:v>0</x:v>
      </x:c>
      <x:c r="O7" s="4"/>
      <x:c r="P7" s="4"/>
      <x:c r="Q7" s="4"/>
      <x:c r="R7" s="4"/>
      <x:c r="S7" s="4"/>
      <x:c r="T7" s="4"/>
    </x:row>
    <x:row r="8">
      <x:c r="A8" s="4" t="str">
        <x:f>"Bounce Rate"</x:f>
        <x:v>Bounce Rate</x:v>
      </x:c>
      <x:c r="B8" s="7" t="e">
        <x:f>INDEX('Data &amp; Targets'!$I$16:$I$27,MATCH('Data &amp; Targets'!$C$9,'Data &amp; Targets'!$B$16:$B$27,0))</x:f>
        <x:v>#N/A</x:v>
      </x:c>
      <x:c r="C8" s="7" t="e">
        <x:f>INDEX('Data &amp; Targets'!$P$16:$P$27,MATCH('Data &amp; Targets'!$C$9,'Data &amp; Targets'!$B$16:$B$27,0))</x:f>
        <x:v>#N/A</x:v>
      </x:c>
      <x:c r="D8" s="7" t="e">
        <x:f>IF(MATCH('Data &amp; Targets'!$C$9,'Data &amp; Targets'!$B$16:$B$27,0)&lt;=1,"",INDEX('Data &amp; Targets'!$I$16:$I$27,MATCH('Data &amp; Targets'!$C$9,'Data &amp; Targets'!$B$16:$B$27,0)-1))</x:f>
        <x:v>#N/A</x:v>
      </x:c>
      <x:c r="E8" s="4" t="str">
        <x:f>"Lower"</x:f>
        <x:v>Lower</x:v>
      </x:c>
      <x:c r="F8" s="4" t="str">
        <x:f t="shared" si="1"/>
        <x:v>Favorable</x:v>
      </x:c>
      <x:c r="G8" s="4"/>
      <x:c r="H8" s="11" t="str">
        <x:f>TEXT('Data &amp; Targets'!B22,"mmm yyyy")</x:f>
        <x:v>RECOMENDACIÓN DE PORTAFOLIO</x:v>
      </x:c>
      <x:c r="I8" s="4" t="n">
        <x:f>'Data &amp; Targets'!C22</x:f>
        <x:v>0</x:v>
      </x:c>
      <x:c r="J8" s="4" t="n">
        <x:f>'Data &amp; Targets'!J22</x:f>
        <x:v>0</x:v>
      </x:c>
      <x:c r="K8" s="4"/>
      <x:c r="L8" s="11" t="str">
        <x:f>TEXT('Data &amp; Targets'!B22,"mmm yyyy")</x:f>
        <x:v>RECOMENDACIÓN DE PORTAFOLIO</x:v>
      </x:c>
      <x:c r="M8" s="4" t="n">
        <x:f>'Data &amp; Targets'!H22</x:f>
        <x:v>0</x:v>
      </x:c>
      <x:c r="N8" s="4" t="n">
        <x:f>'Data &amp; Targets'!O22</x:f>
        <x:v>0</x:v>
      </x:c>
      <x:c r="O8" s="4"/>
      <x:c r="P8" s="4"/>
      <x:c r="Q8" s="4"/>
      <x:c r="R8" s="4"/>
      <x:c r="S8" s="4"/>
      <x:c r="T8" s="4"/>
    </x:row>
    <x:row r="9">
      <x:c r="A9" s="4" t="str">
        <x:f>"MRR / Active User"</x:f>
        <x:v>MRR / Active User</x:v>
      </x:c>
      <x:c r="B9" s="10" t="e">
        <x:f>INDEX('Data &amp; Targets'!$H$16:$H$27,MATCH('Data &amp; Targets'!$C$9,'Data &amp; Targets'!$B$16:$B$27,0))/INDEX('Data &amp; Targets'!$C$16:$C$27,MATCH('Data &amp; Targets'!$C$9,'Data &amp; Targets'!$B$16:$B$27,0))</x:f>
        <x:v>#N/A</x:v>
      </x:c>
      <x:c r="C9" s="10" t="e">
        <x:f>INDEX('Data &amp; Targets'!$O$16:$O$27,MATCH('Data &amp; Targets'!$C$9,'Data &amp; Targets'!$B$16:$B$27,0))/INDEX('Data &amp; Targets'!$J$16:$J$27,MATCH('Data &amp; Targets'!$C$9,'Data &amp; Targets'!$B$16:$B$27,0))</x:f>
        <x:v>#N/A</x:v>
      </x:c>
      <x:c r="D9" s="10" t="e">
        <x:f>IF(IF(MATCH('Data &amp; Targets'!$C$9,'Data &amp; Targets'!$B$16:$B$27,0)&lt;=1,"",INDEX('Data &amp; Targets'!$C$16:$C$27,MATCH('Data &amp; Targets'!$C$9,'Data &amp; Targets'!$B$16:$B$27,0)-1))="","",IF(MATCH('Data &amp; Targets'!$C$9,'Data &amp; Targets'!$B$16:$B$27,0)&lt;=1,"",INDEX('Data &amp; Targets'!$H$16:$H$27,MATCH('Data &amp; Targets'!$C$9,'Data &amp; Targets'!$B$16:$B$27,0)-1))/IF(MATCH('Data &amp; Targets'!$C$9,'Data &amp; Targets'!$B$16:$B$27,0)&lt;=1,"",INDEX('Data &amp; Targets'!$C$16:$C$27,MATCH('Data &amp; Targets'!$C$9,'Data &amp; Targets'!$B$16:$B$27,0)-1)))</x:f>
        <x:v>#N/A</x:v>
      </x:c>
      <x:c r="E9" s="4" t="str">
        <x:f>"Higher"</x:f>
        <x:v>Higher</x:v>
      </x:c>
      <x:c r="F9" s="4" t="str">
        <x:f t="shared" si="1"/>
        <x:v>Watch</x:v>
      </x:c>
      <x:c r="G9" s="4"/>
      <x:c r="H9" s="11" t="str">
        <x:f>TEXT('Data &amp; Targets'!B23,"mmm yyyy")</x:f>
      </x:c>
      <x:c r="I9" s="4" t="n">
        <x:f>'Data &amp; Targets'!C23</x:f>
        <x:v>0</x:v>
      </x:c>
      <x:c r="J9" s="4" t="n">
        <x:f>'Data &amp; Targets'!J23</x:f>
        <x:v>0</x:v>
      </x:c>
      <x:c r="K9" s="4"/>
      <x:c r="L9" s="11" t="str">
        <x:f>TEXT('Data &amp; Targets'!B23,"mmm yyyy")</x:f>
      </x:c>
      <x:c r="M9" s="4" t="n">
        <x:f>'Data &amp; Targets'!H23</x:f>
        <x:v>0</x:v>
      </x:c>
      <x:c r="N9" s="4" t="n">
        <x:f>'Data &amp; Targets'!O23</x:f>
        <x:v>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yyyy")</x:f>
        <x:v>Prioridad</x:v>
      </x:c>
      <x:c r="I10" s="4" t="str">
        <x:f>'Data &amp; Targets'!C24</x:f>
        <x:v>Producto</x:v>
      </x:c>
      <x:c r="J10" s="4" t="n">
        <x:f>'Data &amp; Targets'!J24</x:f>
        <x:v>0</x:v>
      </x:c>
      <x:c r="K10" s="4"/>
      <x:c r="L10" s="11" t="str">
        <x:f>TEXT('Data &amp; Targets'!B24,"mmm yyyy")</x:f>
        <x:v>Prioridad</x:v>
      </x:c>
      <x:c r="M10" s="4" t="n">
        <x:f>'Data &amp; Targets'!H24</x:f>
        <x:v>0</x:v>
      </x:c>
      <x:c r="N10" s="4" t="n">
        <x:f>'Data &amp; Targets'!O24</x:f>
        <x:v>0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yyyy")</x:f>
        <x:v>Jan 1900</x:v>
      </x:c>
      <x:c r="I11" s="4" t="str">
        <x:f>'Data &amp; Targets'!C25</x:f>
        <x:v>Sistema “1 idea → 10 piezas”</x:v>
      </x:c>
      <x:c r="J11" s="4" t="n">
        <x:f>'Data &amp; Targets'!J25</x:f>
        <x:v>0</x:v>
      </x:c>
      <x:c r="K11" s="4"/>
      <x:c r="L11" s="11" t="str">
        <x:f>TEXT('Data &amp; Targets'!B25,"mmm yyyy")</x:f>
        <x:v>Jan 1900</x:v>
      </x:c>
      <x:c r="M11" s="4" t="n">
        <x:f>'Data &amp; Targets'!H25</x:f>
        <x:v>0</x:v>
      </x:c>
      <x:c r="N11" s="4" t="n">
        <x:f>'Data &amp; Targets'!O25</x:f>
        <x:v>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yyyy")</x:f>
        <x:v>Jan 1900</x:v>
      </x:c>
      <x:c r="I12" s="4" t="str">
        <x:f>'Data &amp; Targets'!C26</x:f>
        <x:v>Kit “Primeras 10 publicaciones” por nicho</x:v>
      </x:c>
      <x:c r="J12" s="4" t="n">
        <x:f>'Data &amp; Targets'!J26</x:f>
        <x:v>0</x:v>
      </x:c>
      <x:c r="K12" s="4"/>
      <x:c r="L12" s="11" t="str">
        <x:f>TEXT('Data &amp; Targets'!B26,"mmm yyyy")</x:f>
        <x:v>Jan 1900</x:v>
      </x:c>
      <x:c r="M12" s="4" t="n">
        <x:f>'Data &amp; Targets'!H26</x:f>
        <x:v>0</x:v>
      </x:c>
      <x:c r="N12" s="4" t="n">
        <x:f>'Data &amp; Targets'!O26</x:f>
        <x:v>0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yyyy")</x:f>
        <x:v>Jan 1900</x:v>
      </x:c>
      <x:c r="I13" s="4" t="str">
        <x:f>'Data &amp; Targets'!C27</x:f>
        <x:v>Auditoría guiada + plan de 7 días</x:v>
      </x:c>
      <x:c r="J13" s="4" t="n">
        <x:f>'Data &amp; Targets'!J27</x:f>
        <x:v>0</x:v>
      </x:c>
      <x:c r="K13" s="4"/>
      <x:c r="L13" s="11" t="str">
        <x:f>TEXT('Data &amp; Targets'!B27,"mmm yyyy")</x:f>
        <x:v>Jan 1900</x:v>
      </x:c>
      <x:c r="M13" s="4" t="n">
        <x:f>'Data &amp; Targets'!H27</x:f>
        <x:v>0</x:v>
      </x:c>
      <x:c r="N13" s="4" t="n">
        <x:f>'Data &amp; Targets'!O27</x:f>
        <x:v>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48" hidden="0" customWidth="1"/>
  </x:cols>
  <x:sheetData>
    <x:row r="1" ht="28" customHeight="1">
      <x:c r="A1" s="110" t="str">
        <x:v>Familia</x:v>
      </x:c>
      <x:c r="B1" s="110" t="str">
        <x:v>Marketplace</x:v>
      </x:c>
      <x:c r="C1" s="110" t="str">
        <x:v>Precio USD</x:v>
      </x:c>
      <x:c r="D1" s="110" t="str">
        <x:v>Reseñas visibles</x:v>
      </x:c>
      <x:c r="E1" s="110" t="str">
        <x:v>Rating</x:v>
      </x:c>
      <x:c r="F1" s="110" t="str">
        <x:v>Producto</x:v>
      </x:c>
      <x:c r="G1" s="110" t="str">
        <x:v>URL</x:v>
      </x:c>
    </x:row>
    <x:row r="2">
      <x:c r="A2" s="92" t="str">
        <x:v>Calendario/planificador</x:v>
      </x:c>
      <x:c r="B2" s="93" t="str">
        <x:v>Notion</x:v>
      </x:c>
      <x:c r="C2" s="101" t="n">
        <x:v>29</x:v>
      </x:c>
      <x:c r="D2" s="104" t="n">
        <x:v>148</x:v>
      </x:c>
      <x:c r="E2" s="107" t="n">
        <x:v>5</x:v>
      </x:c>
      <x:c r="F2" s="93" t="str">
        <x:v>Social Media Content Planner</x:v>
      </x:c>
      <x:c r="G2" s="94" t="str">
        <x:v>https://www.notion.com/templates/social-media-content-planners</x:v>
      </x:c>
    </x:row>
    <x:row r="3">
      <x:c r="A3" s="95" t="str">
        <x:v>Calendario/planificador</x:v>
      </x:c>
      <x:c r="B3" s="96" t="str">
        <x:v>Etsy</x:v>
      </x:c>
      <x:c r="C3" s="102" t="n">
        <x:v>5</x:v>
      </x:c>
      <x:c r="D3" s="105" t="n">
        <x:v>8</x:v>
      </x:c>
      <x:c r="E3" s="108" t="n">
        <x:v>4.7</x:v>
      </x:c>
      <x:c r="F3" s="96" t="str">
        <x:v>Social Media Content Calendar</x:v>
      </x:c>
      <x:c r="G3" s="97" t="str">
        <x:v>https://www.etsy.com/listing/1157113794/social-media-content-calendar-template</x:v>
      </x:c>
    </x:row>
    <x:row r="4">
      <x:c r="A4" s="95" t="str">
        <x:v>Calendario/planificador</x:v>
      </x:c>
      <x:c r="B4" s="96" t="str">
        <x:v>Gumroad</x:v>
      </x:c>
      <x:c r="C4" s="102" t="n">
        <x:v>19</x:v>
      </x:c>
      <x:c r="D4" s="105"/>
      <x:c r="E4" s="108"/>
      <x:c r="F4" s="96" t="str">
        <x:v>Social Media Content Calendar</x:v>
      </x:c>
      <x:c r="G4" s="97" t="str">
        <x:v>https://galassobru.gumroad.com/l/dvycss</x:v>
      </x:c>
    </x:row>
    <x:row r="5">
      <x:c r="A5" s="95" t="str">
        <x:v>Calendario/planificador</x:v>
      </x:c>
      <x:c r="B5" s="96" t="str">
        <x:v>Gumroad</x:v>
      </x:c>
      <x:c r="C5" s="102" t="n">
        <x:v>4.99</x:v>
      </x:c>
      <x:c r="D5" s="105"/>
      <x:c r="E5" s="108"/>
      <x:c r="F5" s="96" t="str">
        <x:v>Social Calendar + Guide</x:v>
      </x:c>
      <x:c r="G5" s="97" t="str">
        <x:v>https://isamiradv.gumroad.com/l/social-calendar-guide</x:v>
      </x:c>
    </x:row>
    <x:row r="6">
      <x:c r="A6" s="95" t="str">
        <x:v>Calendario/planificador</x:v>
      </x:c>
      <x:c r="B6" s="96" t="str">
        <x:v>Gumroad</x:v>
      </x:c>
      <x:c r="C6" s="102" t="n">
        <x:v>14.99</x:v>
      </x:c>
      <x:c r="D6" s="105"/>
      <x:c r="E6" s="108"/>
      <x:c r="F6" s="96" t="str">
        <x:v>9-sheet Social Calendar</x:v>
      </x:c>
      <x:c r="G6" s="97" t="str">
        <x:v>https://nwaezedavid.gumroad.com/l/hqdscf</x:v>
      </x:c>
    </x:row>
    <x:row r="7">
      <x:c r="A7" s="95" t="str">
        <x:v>Calendario/planificador</x:v>
      </x:c>
      <x:c r="B7" s="96" t="str">
        <x:v>Gumroad</x:v>
      </x:c>
      <x:c r="C7" s="102" t="n">
        <x:v>4.99</x:v>
      </x:c>
      <x:c r="D7" s="105"/>
      <x:c r="E7" s="108"/>
      <x:c r="F7" s="96" t="str">
        <x:v>Simple CSV Calendar</x:v>
      </x:c>
      <x:c r="G7" s="97" t="str">
        <x:v>https://shabnam72.gumroad.com/l/evyxyp</x:v>
      </x:c>
    </x:row>
    <x:row r="8">
      <x:c r="A8" s="95" t="str">
        <x:v>Calendario/planificador</x:v>
      </x:c>
      <x:c r="B8" s="96" t="str">
        <x:v>Gumroad</x:v>
      </x:c>
      <x:c r="C8" s="102" t="n">
        <x:v>9.99</x:v>
      </x:c>
      <x:c r="D8" s="105"/>
      <x:c r="E8" s="108"/>
      <x:c r="F8" s="96" t="str">
        <x:v>Strategy + Calendar</x:v>
      </x:c>
      <x:c r="G8" s="97" t="str">
        <x:v>https://macondesigns.gumroad.com/l/wavuk</x:v>
      </x:c>
    </x:row>
    <x:row r="9">
      <x:c r="A9" s="95" t="str">
        <x:v>Calendario/planificador</x:v>
      </x:c>
      <x:c r="B9" s="96" t="str">
        <x:v>Etsy</x:v>
      </x:c>
      <x:c r="C9" s="102" t="n">
        <x:v>18</x:v>
      </x:c>
      <x:c r="D9" s="105"/>
      <x:c r="E9" s="108"/>
      <x:c r="F9" s="96" t="str">
        <x:v>68-page Printable Planner</x:v>
      </x:c>
      <x:c r="G9" s="97" t="str">
        <x:v>https://www.etsy.com/market/social_media_content_planner</x:v>
      </x:c>
    </x:row>
    <x:row r="10">
      <x:c r="A10" s="95" t="str">
        <x:v>Hooks/copys</x:v>
      </x:c>
      <x:c r="B10" s="96" t="str">
        <x:v>Etsy</x:v>
      </x:c>
      <x:c r="C10" s="102" t="n">
        <x:v>10.33</x:v>
      </x:c>
      <x:c r="D10" s="105" t="n">
        <x:v>9</x:v>
      </x:c>
      <x:c r="E10" s="108"/>
      <x:c r="F10" s="96" t="str">
        <x:v>350+ Hooks</x:v>
      </x:c>
      <x:c r="G10" s="97" t="str">
        <x:v>https://www.etsy.com/market/social_media_hooks</x:v>
      </x:c>
    </x:row>
    <x:row r="11">
      <x:c r="A11" s="95" t="str">
        <x:v>Hooks/copys</x:v>
      </x:c>
      <x:c r="B11" s="96" t="str">
        <x:v>Etsy</x:v>
      </x:c>
      <x:c r="C11" s="102" t="n">
        <x:v>2.1</x:v>
      </x:c>
      <x:c r="D11" s="105" t="n">
        <x:v>626</x:v>
      </x:c>
      <x:c r="E11" s="108"/>
      <x:c r="F11" s="96" t="str">
        <x:v>700+ Hooks</x:v>
      </x:c>
      <x:c r="G11" s="97" t="str">
        <x:v>https://www.etsy.com/market/social_media_hooks</x:v>
      </x:c>
    </x:row>
    <x:row r="12">
      <x:c r="A12" s="95" t="str">
        <x:v>Hooks/copys</x:v>
      </x:c>
      <x:c r="B12" s="96" t="str">
        <x:v>Etsy</x:v>
      </x:c>
      <x:c r="C12" s="102" t="n">
        <x:v>5</x:v>
      </x:c>
      <x:c r="D12" s="105" t="n">
        <x:v>346</x:v>
      </x:c>
      <x:c r="E12" s="108"/>
      <x:c r="F12" s="96" t="str">
        <x:v>500 Hooks</x:v>
      </x:c>
      <x:c r="G12" s="97" t="str">
        <x:v>https://www.etsy.com/market/social_media_hooks</x:v>
      </x:c>
    </x:row>
    <x:row r="13">
      <x:c r="A13" s="95" t="str">
        <x:v>Hooks/copys</x:v>
      </x:c>
      <x:c r="B13" s="96" t="str">
        <x:v>Etsy</x:v>
      </x:c>
      <x:c r="C13" s="102" t="n">
        <x:v>7</x:v>
      </x:c>
      <x:c r="D13" s="105" t="n">
        <x:v>261</x:v>
      </x:c>
      <x:c r="E13" s="108"/>
      <x:c r="F13" s="96" t="str">
        <x:v>Hooks + Captions</x:v>
      </x:c>
      <x:c r="G13" s="97" t="str">
        <x:v>https://www.etsy.com/market/social_media_hooks</x:v>
      </x:c>
    </x:row>
    <x:row r="14">
      <x:c r="A14" s="95" t="str">
        <x:v>Hooks/copys</x:v>
      </x:c>
      <x:c r="B14" s="96" t="str">
        <x:v>Etsy</x:v>
      </x:c>
      <x:c r="C14" s="102" t="n">
        <x:v>4.9</x:v>
      </x:c>
      <x:c r="D14" s="105" t="n">
        <x:v>138</x:v>
      </x:c>
      <x:c r="E14" s="108"/>
      <x:c r="F14" s="96" t="str">
        <x:v>Hook Guide</x:v>
      </x:c>
      <x:c r="G14" s="97" t="str">
        <x:v>https://www.etsy.com/market/social_media_hooks</x:v>
      </x:c>
    </x:row>
    <x:row r="15">
      <x:c r="A15" s="95" t="str">
        <x:v>Hooks/copys</x:v>
      </x:c>
      <x:c r="B15" s="96" t="str">
        <x:v>Etsy</x:v>
      </x:c>
      <x:c r="C15" s="102" t="n">
        <x:v>5.49</x:v>
      </x:c>
      <x:c r="D15" s="105" t="n">
        <x:v>446</x:v>
      </x:c>
      <x:c r="E15" s="108"/>
      <x:c r="F15" s="96" t="str">
        <x:v>100 Viral Video Hooks</x:v>
      </x:c>
      <x:c r="G15" s="97" t="str">
        <x:v>https://www.etsy.com/market/social_media_hooks</x:v>
      </x:c>
    </x:row>
    <x:row r="16">
      <x:c r="A16" s="95" t="str">
        <x:v>Hooks/copys</x:v>
      </x:c>
      <x:c r="B16" s="96" t="str">
        <x:v>Etsy</x:v>
      </x:c>
      <x:c r="C16" s="102" t="n">
        <x:v>10.38</x:v>
      </x:c>
      <x:c r="D16" s="105" t="n">
        <x:v>72</x:v>
      </x:c>
      <x:c r="E16" s="108"/>
      <x:c r="F16" s="96" t="str">
        <x:v>Niche Hook Playbook</x:v>
      </x:c>
      <x:c r="G16" s="97" t="str">
        <x:v>https://www.etsy.com/market/social_media_hooks</x:v>
      </x:c>
    </x:row>
    <x:row r="17">
      <x:c r="A17" s="95" t="str">
        <x:v>Pilares/estrategia</x:v>
      </x:c>
      <x:c r="B17" s="96" t="str">
        <x:v>Etsy</x:v>
      </x:c>
      <x:c r="C17" s="102" t="n">
        <x:v>3</x:v>
      </x:c>
      <x:c r="D17" s="105" t="n">
        <x:v>623</x:v>
      </x:c>
      <x:c r="E17" s="108"/>
      <x:c r="F17" s="96" t="str">
        <x:v>Content Pillar Worksheets</x:v>
      </x:c>
      <x:c r="G17" s="97" t="str">
        <x:v>https://www.etsy.com/market/content_pillars</x:v>
      </x:c>
    </x:row>
    <x:row r="18">
      <x:c r="A18" s="95" t="str">
        <x:v>Pilares/estrategia</x:v>
      </x:c>
      <x:c r="B18" s="96" t="str">
        <x:v>Etsy</x:v>
      </x:c>
      <x:c r="C18" s="102" t="n">
        <x:v>7.79</x:v>
      </x:c>
      <x:c r="D18" s="105" t="n">
        <x:v>328</x:v>
      </x:c>
      <x:c r="E18" s="108"/>
      <x:c r="F18" s="96" t="str">
        <x:v>Content Strategy Guide</x:v>
      </x:c>
      <x:c r="G18" s="97" t="str">
        <x:v>https://www.etsy.com/market/content_pillars</x:v>
      </x:c>
    </x:row>
    <x:row r="19">
      <x:c r="A19" s="95" t="str">
        <x:v>Pilares/estrategia</x:v>
      </x:c>
      <x:c r="B19" s="96" t="str">
        <x:v>Etsy</x:v>
      </x:c>
      <x:c r="C19" s="102" t="n">
        <x:v>21.21</x:v>
      </x:c>
      <x:c r="D19" s="105" t="n">
        <x:v>16</x:v>
      </x:c>
      <x:c r="E19" s="108"/>
      <x:c r="F19" s="96" t="str">
        <x:v>Content Pillar Workbook</x:v>
      </x:c>
      <x:c r="G19" s="97" t="str">
        <x:v>https://www.etsy.com/market/content_pillars</x:v>
      </x:c>
    </x:row>
    <x:row r="20">
      <x:c r="A20" s="95" t="str">
        <x:v>Pilares/estrategia</x:v>
      </x:c>
      <x:c r="B20" s="96" t="str">
        <x:v>Etsy</x:v>
      </x:c>
      <x:c r="C20" s="102" t="n">
        <x:v>15.56</x:v>
      </x:c>
      <x:c r="D20" s="105" t="n">
        <x:v>449</x:v>
      </x:c>
      <x:c r="E20" s="108"/>
      <x:c r="F20" s="96" t="str">
        <x:v>Content Planner</x:v>
      </x:c>
      <x:c r="G20" s="97" t="str">
        <x:v>https://www.etsy.com/market/content_pillars</x:v>
      </x:c>
    </x:row>
    <x:row r="21">
      <x:c r="A21" s="95" t="str">
        <x:v>Pilares/estrategia</x:v>
      </x:c>
      <x:c r="B21" s="96" t="str">
        <x:v>Etsy</x:v>
      </x:c>
      <x:c r="C21" s="102" t="n">
        <x:v>12.66</x:v>
      </x:c>
      <x:c r="D21" s="105" t="n">
        <x:v>154</x:v>
      </x:c>
      <x:c r="E21" s="108"/>
      <x:c r="F21" s="96" t="str">
        <x:v>Content Pillar Cards</x:v>
      </x:c>
      <x:c r="G21" s="97" t="str">
        <x:v>https://www.etsy.com/market/content_pillars</x:v>
      </x:c>
    </x:row>
    <x:row r="22">
      <x:c r="A22" s="95" t="str">
        <x:v>Pilares/estrategia</x:v>
      </x:c>
      <x:c r="B22" s="96" t="str">
        <x:v>Etsy</x:v>
      </x:c>
      <x:c r="C22" s="102" t="n">
        <x:v>9</x:v>
      </x:c>
      <x:c r="D22" s="105" t="n">
        <x:v>9</x:v>
      </x:c>
      <x:c r="E22" s="108"/>
      <x:c r="F22" s="96" t="str">
        <x:v>Pillar Workbook</x:v>
      </x:c>
      <x:c r="G22" s="97" t="str">
        <x:v>https://www.etsy.com/market/content_pillars</x:v>
      </x:c>
    </x:row>
    <x:row r="23">
      <x:c r="A23" s="95" t="str">
        <x:v>Pilares/estrategia</x:v>
      </x:c>
      <x:c r="B23" s="96" t="str">
        <x:v>Etsy</x:v>
      </x:c>
      <x:c r="C23" s="102" t="n">
        <x:v>4.93</x:v>
      </x:c>
      <x:c r="D23" s="105" t="n">
        <x:v>7</x:v>
      </x:c>
      <x:c r="E23" s="108" t="n">
        <x:v>4.7</x:v>
      </x:c>
      <x:c r="F23" s="96" t="str">
        <x:v>Social Media Workbook</x:v>
      </x:c>
      <x:c r="G23" s="97" t="str">
        <x:v>https://www.etsy.com/market/social_media_workbook</x:v>
      </x:c>
    </x:row>
    <x:row r="24">
      <x:c r="A24" s="95" t="str">
        <x:v>Auditoría/analytics</x:v>
      </x:c>
      <x:c r="B24" s="96" t="str">
        <x:v>Etsy</x:v>
      </x:c>
      <x:c r="C24" s="102" t="n">
        <x:v>4.25</x:v>
      </x:c>
      <x:c r="D24" s="105" t="n">
        <x:v>202</x:v>
      </x:c>
      <x:c r="E24" s="108"/>
      <x:c r="F24" s="96" t="str">
        <x:v>Analytics Tracker</x:v>
      </x:c>
      <x:c r="G24" s="97" t="str">
        <x:v>https://www.etsy.com/market/social_media_audit</x:v>
      </x:c>
    </x:row>
    <x:row r="25">
      <x:c r="A25" s="95" t="str">
        <x:v>Auditoría/analytics</x:v>
      </x:c>
      <x:c r="B25" s="96" t="str">
        <x:v>Etsy</x:v>
      </x:c>
      <x:c r="C25" s="102" t="n">
        <x:v>6.94</x:v>
      </x:c>
      <x:c r="D25" s="105"/>
      <x:c r="E25" s="108"/>
      <x:c r="F25" s="96" t="str">
        <x:v>Audit Template</x:v>
      </x:c>
      <x:c r="G25" s="97" t="str">
        <x:v>https://www.etsy.com/market/social_media_audit</x:v>
      </x:c>
    </x:row>
    <x:row r="26">
      <x:c r="A26" s="95" t="str">
        <x:v>Auditoría/analytics</x:v>
      </x:c>
      <x:c r="B26" s="96" t="str">
        <x:v>Etsy</x:v>
      </x:c>
      <x:c r="C26" s="102" t="n">
        <x:v>19.9</x:v>
      </x:c>
      <x:c r="D26" s="105"/>
      <x:c r="E26" s="108"/>
      <x:c r="F26" s="96" t="str">
        <x:v>Tracker Dashboard</x:v>
      </x:c>
      <x:c r="G26" s="97" t="str">
        <x:v>https://www.etsy.com/market/social_media_audit</x:v>
      </x:c>
    </x:row>
    <x:row r="27">
      <x:c r="A27" s="95" t="str">
        <x:v>Auditoría/analytics</x:v>
      </x:c>
      <x:c r="B27" s="96" t="str">
        <x:v>Etsy</x:v>
      </x:c>
      <x:c r="C27" s="102" t="n">
        <x:v>25.5</x:v>
      </x:c>
      <x:c r="D27" s="105" t="n">
        <x:v>1</x:v>
      </x:c>
      <x:c r="E27" s="108"/>
      <x:c r="F27" s="96" t="str">
        <x:v>Client Audit Template (£20.20 converted approx.)</x:v>
      </x:c>
      <x:c r="G27" s="97" t="str">
        <x:v>https://www.etsy.com/market/social_media_audit</x:v>
      </x:c>
    </x:row>
    <x:row r="28">
      <x:c r="A28" s="95" t="str">
        <x:v>Reto/plan guiado</x:v>
      </x:c>
      <x:c r="B28" s="96" t="str">
        <x:v>Etsy</x:v>
      </x:c>
      <x:c r="C28" s="102" t="n">
        <x:v>15.22</x:v>
      </x:c>
      <x:c r="D28" s="105" t="n">
        <x:v>5</x:v>
      </x:c>
      <x:c r="E28" s="108"/>
      <x:c r="F28" s="96" t="str">
        <x:v>30-day Workbook</x:v>
      </x:c>
      <x:c r="G28" s="97" t="str">
        <x:v>https://www.etsy.com/market/30_day_content_challenge</x:v>
      </x:c>
    </x:row>
    <x:row r="29">
      <x:c r="A29" s="95" t="str">
        <x:v>Reto/plan guiado</x:v>
      </x:c>
      <x:c r="B29" s="96" t="str">
        <x:v>Etsy</x:v>
      </x:c>
      <x:c r="C29" s="102" t="n">
        <x:v>6.75</x:v>
      </x:c>
      <x:c r="D29" s="105" t="n">
        <x:v>32</x:v>
      </x:c>
      <x:c r="E29" s="108"/>
      <x:c r="F29" s="96" t="str">
        <x:v>Nail Tech Challenge</x:v>
      </x:c>
      <x:c r="G29" s="97" t="str">
        <x:v>https://www.etsy.com/market/30_day_content_challenge</x:v>
      </x:c>
    </x:row>
    <x:row r="30">
      <x:c r="A30" s="95" t="str">
        <x:v>Reto/plan guiado</x:v>
      </x:c>
      <x:c r="B30" s="96" t="str">
        <x:v>Etsy</x:v>
      </x:c>
      <x:c r="C30" s="102" t="n">
        <x:v>7</x:v>
      </x:c>
      <x:c r="D30" s="105" t="n">
        <x:v>49</x:v>
      </x:c>
      <x:c r="E30" s="108"/>
      <x:c r="F30" s="96" t="str">
        <x:v>Authors Challenge</x:v>
      </x:c>
      <x:c r="G30" s="97" t="str">
        <x:v>https://www.etsy.com/market/30_day_content_challenge</x:v>
      </x:c>
    </x:row>
    <x:row r="31">
      <x:c r="A31" s="95" t="str">
        <x:v>Reto/plan guiado</x:v>
      </x:c>
      <x:c r="B31" s="96" t="str">
        <x:v>Etsy</x:v>
      </x:c>
      <x:c r="C31" s="102" t="n">
        <x:v>4.25</x:v>
      </x:c>
      <x:c r="D31" s="105" t="n">
        <x:v>33</x:v>
      </x:c>
      <x:c r="E31" s="108"/>
      <x:c r="F31" s="96" t="str">
        <x:v>Content Challenge Guide</x:v>
      </x:c>
      <x:c r="G31" s="97" t="str">
        <x:v>https://www.etsy.com/market/30_day_content_challenge</x:v>
      </x:c>
    </x:row>
    <x:row r="32">
      <x:c r="A32" s="95" t="str">
        <x:v>Reto/plan guiado</x:v>
      </x:c>
      <x:c r="B32" s="96" t="str">
        <x:v>Etsy</x:v>
      </x:c>
      <x:c r="C32" s="102" t="n">
        <x:v>3</x:v>
      </x:c>
      <x:c r="D32" s="105" t="n">
        <x:v>852</x:v>
      </x:c>
      <x:c r="E32" s="108"/>
      <x:c r="F32" s="96" t="str">
        <x:v>10 Minutes a Day Plan</x:v>
      </x:c>
      <x:c r="G32" s="97" t="str">
        <x:v>https://www.etsy.com/market/30_day_content_challenge</x:v>
      </x:c>
    </x:row>
    <x:row r="33">
      <x:c r="A33" s="95" t="str">
        <x:v>Reto/plan guiado</x:v>
      </x:c>
      <x:c r="B33" s="96" t="str">
        <x:v>Etsy</x:v>
      </x:c>
      <x:c r="C33" s="102" t="n">
        <x:v>7.6</x:v>
      </x:c>
      <x:c r="D33" s="105" t="n">
        <x:v>128</x:v>
      </x:c>
      <x:c r="E33" s="108"/>
      <x:c r="F33" s="96" t="str">
        <x:v>30-day Guide</x:v>
      </x:c>
      <x:c r="G33" s="97" t="str">
        <x:v>https://www.etsy.com/market/30_day_content_challenge</x:v>
      </x:c>
    </x:row>
    <x:row r="34">
      <x:c r="A34" s="95" t="str">
        <x:v>Repurposing</x:v>
      </x:c>
      <x:c r="B34" s="96" t="str">
        <x:v>Etsy</x:v>
      </x:c>
      <x:c r="C34" s="102" t="n">
        <x:v>11.21</x:v>
      </x:c>
      <x:c r="D34" s="105"/>
      <x:c r="E34" s="108"/>
      <x:c r="F34" s="96" t="str">
        <x:v>Content Repurposing Map</x:v>
      </x:c>
      <x:c r="G34" s="97" t="str">
        <x:v>https://www.etsy.com/market/content_repurposing</x:v>
      </x:c>
    </x:row>
    <x:row r="35">
      <x:c r="A35" s="95" t="str">
        <x:v>Repurposing</x:v>
      </x:c>
      <x:c r="B35" s="96" t="str">
        <x:v>Gumroad</x:v>
      </x:c>
      <x:c r="C35" s="102" t="n">
        <x:v>29</x:v>
      </x:c>
      <x:c r="D35" s="105"/>
      <x:c r="E35" s="108"/>
      <x:c r="F35" s="96" t="str">
        <x:v>AI Repurposing Strategy Kit</x:v>
      </x:c>
      <x:c r="G35" s="97" t="str">
        <x:v>https://www.etsy.com/market/content_repurposing</x:v>
      </x:c>
    </x:row>
    <x:row r="36">
      <x:c r="A36" s="98" t="str">
        <x:v>Repurposing</x:v>
      </x:c>
      <x:c r="B36" s="99" t="str">
        <x:v>Etsy</x:v>
      </x:c>
      <x:c r="C36" s="103" t="n">
        <x:v>3.24</x:v>
      </x:c>
      <x:c r="D36" s="106"/>
      <x:c r="E36" s="109"/>
      <x:c r="F36" s="99" t="str">
        <x:v>Repurposing Planner</x:v>
      </x:c>
      <x:c r="G36" s="100" t="str">
        <x:v>https://www.etsy.com/market/content_repurposing</x:v>
      </x:c>
    </x:row>
  </x:sheetData>
  <x:pageMargins left="0.7" right="0.7" top="0.75" bottom="0.75" header="0.3" footer="0.3"/>
  <x:tableParts count="1">
    <x:tablePart xmlns:r="http://schemas.openxmlformats.org/officeDocument/2006/relationships" r:id="Rb9e34ec6f34a44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48" hidden="0" customWidth="1"/>
    <x:col min="4" max="4" width="48" hidden="0" customWidth="1"/>
  </x:cols>
  <x:sheetData>
    <x:row r="1" ht="28" customHeight="1">
      <x:c r="A1" s="90" t="str">
        <x:v>Necesidad concreta</x:v>
      </x:c>
      <x:c r="B1" s="90" t="str">
        <x:v>Fuerza (1-5)</x:v>
      </x:c>
      <x:c r="C1" s="90" t="str">
        <x:v>Qué evidencia indica</x:v>
      </x:c>
      <x:c r="D1" s="90" t="str">
        <x:v>Respuesta de producto</x:v>
      </x:c>
    </x:row>
    <x:row r="2">
      <x:c r="A2" s="120" t="str">
        <x:v>Decidir qué publicar</x:v>
      </x:c>
      <x:c r="B2" s="121" t="n">
        <x:v>5</x:v>
      </x:c>
      <x:c r="C2" s="121" t="str">
        <x:v>Repetido en compradores y comunidades: la fricción comienza antes de escribir.</x:v>
      </x:c>
      <x:c r="D2" s="122" t="str">
        <x:v>Inventario de ideas + 4 pilares + prompts de decisión</x:v>
      </x:c>
    </x:row>
    <x:row r="3">
      <x:c r="A3" s="123" t="str">
        <x:v>Ser constante sin agotarse</x:v>
      </x:c>
      <x:c r="B3" s="124" t="n">
        <x:v>5</x:v>
      </x:c>
      <x:c r="C3" s="124" t="str">
        <x:v>Consistencia, perfeccionismo y sensación de segundo trabajo aparecen repetidamente.</x:v>
      </x:c>
      <x:c r="D3" s="125" t="str">
        <x:v>Plan rodante de 7-10 días + batching realista</x:v>
      </x:c>
    </x:row>
    <x:row r="4">
      <x:c r="A4" s="123" t="str">
        <x:v>Centralizar ideas, activos y estado</x:v>
      </x:c>
      <x:c r="B4" s="124" t="n">
        <x:v>5</x:v>
      </x:c>
      <x:c r="C4" s="124" t="str">
        <x:v>Un solo lugar y claridad de responsables reducen caos y doble publicación.</x:v>
      </x:c>
      <x:c r="D4" s="125" t="str">
        <x:v>Tablero simple con estado, canal, dueño y fecha</x:v>
      </x:c>
    </x:row>
    <x:row r="5">
      <x:c r="A5" s="123" t="str">
        <x:v>Reutilizar una idea entre canales</x:v>
      </x:c>
      <x:c r="B5" s="124" t="n">
        <x:v>4</x:v>
      </x:c>
      <x:c r="C5" s="124" t="str">
        <x:v>Se busca ahorrar tiempo y adaptar formatos, no copiar-pegar.</x:v>
      </x:c>
      <x:c r="D5" s="125" t="str">
        <x:v>Flujo 1→10 con ejemplos por plataforma</x:v>
      </x:c>
    </x:row>
    <x:row r="6">
      <x:c r="A6" s="123" t="str">
        <x:v>Empezar sin curva de aprendizaje</x:v>
      </x:c>
      <x:c r="B6" s="124" t="n">
        <x:v>5</x:v>
      </x:c>
      <x:c r="C6" s="124" t="str">
        <x:v>Reseñas premian simple, intuitivo, fácil de usar y apto para principiantes.</x:v>
      </x:c>
      <x:c r="D6" s="125" t="str">
        <x:v>Inicio guiado de 15 minutos + ejemplo completado</x:v>
      </x:c>
    </x:row>
    <x:row r="7">
      <x:c r="A7" s="123" t="str">
        <x:v>Aprobar/publicar a tiempo</x:v>
      </x:c>
      <x:c r="B7" s="124" t="n">
        <x:v>4</x:v>
      </x:c>
      <x:c r="C7" s="124" t="str">
        <x:v>Aprobaciones y activos faltantes son cuellos de botella operativos.</x:v>
      </x:c>
      <x:c r="D7" s="125" t="str">
        <x:v>Checklist, responsables y ventana de aprobación</x:v>
      </x:c>
    </x:row>
    <x:row r="8">
      <x:c r="A8" s="123" t="str">
        <x:v>Medir y ajustar semanalmente</x:v>
      </x:c>
      <x:c r="B8" s="124" t="n">
        <x:v>3</x:v>
      </x:c>
      <x:c r="C8" s="124" t="str">
        <x:v>Los calendarios rígidos fallan cuando cambian tendencias o resultados.</x:v>
      </x:c>
      <x:c r="D8" s="125" t="str">
        <x:v>Revisión semanal con 3 métricas y decisiones</x:v>
      </x:c>
    </x:row>
    <x:row r="9">
      <x:c r="A9" s="126" t="str">
        <x:v>Evitar fallos de acceso/formato</x:v>
      </x:c>
      <x:c r="B9" s="127" t="n">
        <x:v>4</x:v>
      </x:c>
      <x:c r="C9" s="127" t="str">
        <x:v>Compradores se quejan de archivos incompletos o incompatibles.</x:v>
      </x:c>
      <x:c r="D9" s="128" t="str">
        <x:v>Google-native, instrucciones y prueba de acceso</x:v>
      </x:c>
    </x:row>
  </x:sheetData>
  <x:conditionalFormatting sqref="B2:B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24c8104d3c4671"/>
  </x:tableParts>
</x:worksheet>
</file>